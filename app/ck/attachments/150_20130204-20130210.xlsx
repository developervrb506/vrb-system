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 activeTab="7"/>
  </bookViews>
  <sheets>
    <sheet name="DNP" sheetId="1" r:id="rId1"/>
    <sheet name="QP" sheetId="2" r:id="rId2"/>
    <sheet name="QP1" sheetId="3" r:id="rId3"/>
    <sheet name="DF" sheetId="4" r:id="rId4"/>
    <sheet name="DGSDNP" sheetId="5" r:id="rId5"/>
    <sheet name="DGSQP" sheetId="6" r:id="rId6"/>
    <sheet name="DGSQP1" sheetId="7" r:id="rId7"/>
    <sheet name="RECON" sheetId="8" r:id="rId8"/>
  </sheets>
  <calcPr calcId="145621"/>
</workbook>
</file>

<file path=xl/calcChain.xml><?xml version="1.0" encoding="utf-8"?>
<calcChain xmlns="http://schemas.openxmlformats.org/spreadsheetml/2006/main">
  <c r="B3" i="8" l="1"/>
  <c r="B5" i="8" s="1"/>
  <c r="B15" i="8"/>
  <c r="B13" i="8"/>
  <c r="B12" i="8"/>
  <c r="B2" i="8"/>
  <c r="K11" i="7"/>
  <c r="B8" i="8"/>
</calcChain>
</file>

<file path=xl/sharedStrings.xml><?xml version="1.0" encoding="utf-8"?>
<sst xmlns="http://schemas.openxmlformats.org/spreadsheetml/2006/main" count="554" uniqueCount="172">
  <si>
    <t>CA</t>
  </si>
  <si>
    <t>USA</t>
  </si>
  <si>
    <t>Unknown</t>
  </si>
  <si>
    <t>Approved</t>
  </si>
  <si>
    <t>Merchant 2295</t>
  </si>
  <si>
    <t>JEFFCORDON@ME.COM</t>
  </si>
  <si>
    <t>Jeff Cordon</t>
  </si>
  <si>
    <t>174.254.65.19</t>
  </si>
  <si>
    <t>436618***9412</t>
  </si>
  <si>
    <t>VISA</t>
  </si>
  <si>
    <t>Debit</t>
  </si>
  <si>
    <t>U.S. BANK, N.A.</t>
  </si>
  <si>
    <t>CHARGEVERIFY (48949033): passed</t>
  </si>
  <si>
    <t>meshasy9190@yahoo.com</t>
  </si>
  <si>
    <t>Victor Bistawros</t>
  </si>
  <si>
    <t>NJ</t>
  </si>
  <si>
    <t>108.5.165.185</t>
  </si>
  <si>
    <t>411774***2571</t>
  </si>
  <si>
    <t>BANK OF AMERICA, N.A.</t>
  </si>
  <si>
    <t>CHARGEVERIFY (48958232): passed</t>
  </si>
  <si>
    <t>stefanrakonjac@yahoo.com</t>
  </si>
  <si>
    <t>Stefan Rakonjac</t>
  </si>
  <si>
    <t>76.91.229.40</t>
  </si>
  <si>
    <t>481582***3177</t>
  </si>
  <si>
    <t>CHARGEVERIFY (48972922): passed</t>
  </si>
  <si>
    <t>CHARGEVERIFY (49077180): passed</t>
  </si>
  <si>
    <t>174.240.160.241</t>
  </si>
  <si>
    <t>CHARGEVERIFY (49092658): passed</t>
  </si>
  <si>
    <t>jojo.perez@verizon.net</t>
  </si>
  <si>
    <t>Jose Perez</t>
  </si>
  <si>
    <t>71.189.71.158</t>
  </si>
  <si>
    <t>421766***6109</t>
  </si>
  <si>
    <t>CHARGEVERIFY (49188504): passed</t>
  </si>
  <si>
    <t>35bf64c3-b284-4196-9046-de5488d89f14</t>
  </si>
  <si>
    <t>1185</t>
  </si>
  <si>
    <t>103073107228</t>
  </si>
  <si>
    <t>APPROVED</t>
  </si>
  <si>
    <t>QW-01-0-Payment Success</t>
  </si>
  <si>
    <t>WII-ESHOP-COME S.R.O</t>
  </si>
  <si>
    <t>2013-02-10 04:59:22</t>
  </si>
  <si>
    <t>2013-02-10 12:59:28</t>
  </si>
  <si>
    <t>2013-02-10 04:59:24</t>
  </si>
  <si>
    <t>74.60.25.39</t>
  </si>
  <si>
    <t>Matthew</t>
  </si>
  <si>
    <t>Guy</t>
  </si>
  <si>
    <t>28269</t>
  </si>
  <si>
    <t>CHARLOTTE</t>
  </si>
  <si>
    <t>NC</t>
  </si>
  <si>
    <t>US</t>
  </si>
  <si>
    <t>MARBURY RD</t>
  </si>
  <si>
    <t>[QPPMT18]SBO_QW_Live_Visa</t>
  </si>
  <si>
    <t>(QPPMT18)QWIPI_Visa_Live</t>
  </si>
  <si>
    <t>10</t>
  </si>
  <si>
    <t>2016</t>
  </si>
  <si>
    <t>Matthew Guy</t>
  </si>
  <si>
    <t>************2405</t>
  </si>
  <si>
    <t>www.sportsbettingonline.ag</t>
  </si>
  <si>
    <t>82c5fcca-e6b1-4089-8fdf-a1e3d4e7ac5c</t>
  </si>
  <si>
    <t>1126</t>
  </si>
  <si>
    <t>103073047802</t>
  </si>
  <si>
    <t>FaithGellalo co.,LTD</t>
  </si>
  <si>
    <t>2013-02-07 19:44:56</t>
  </si>
  <si>
    <t>2013-02-08 03:45:01</t>
  </si>
  <si>
    <t>2013-02-07 07:45:20</t>
  </si>
  <si>
    <t>9064ec1e-9ccb-4894-a0b0-d57ab627127f</t>
  </si>
  <si>
    <t>1125</t>
  </si>
  <si>
    <t>103073039840</t>
  </si>
  <si>
    <t>2013-02-07 09:42:03</t>
  </si>
  <si>
    <t>2013-02-07 05:42:10</t>
  </si>
  <si>
    <t>2013-02-07 09:42:25</t>
  </si>
  <si>
    <t>c70a3a99-0884-4433-898c-2da8ee114d50</t>
  </si>
  <si>
    <t>1118</t>
  </si>
  <si>
    <t>103073031633</t>
  </si>
  <si>
    <t>2013-02-06 23:00:12</t>
  </si>
  <si>
    <t>2013-02-07 07:00:18</t>
  </si>
  <si>
    <t>2013-02-06 11:00:32</t>
  </si>
  <si>
    <t>166.205.48.240</t>
  </si>
  <si>
    <t>d49af675-433c-4444-a3d6-e451a72ad6f8</t>
  </si>
  <si>
    <t>1117</t>
  </si>
  <si>
    <t>103073027870</t>
  </si>
  <si>
    <t>2013-02-06 19:40:57</t>
  </si>
  <si>
    <t>2013-02-07 03:41:03</t>
  </si>
  <si>
    <t>2013-02-06 07:41:17</t>
  </si>
  <si>
    <t>98.116.99.168</t>
  </si>
  <si>
    <t>Dominick</t>
  </si>
  <si>
    <t>Ramondelli</t>
  </si>
  <si>
    <t>10701</t>
  </si>
  <si>
    <t>Yonkers</t>
  </si>
  <si>
    <t>NY</t>
  </si>
  <si>
    <t>15 Burtis Ave</t>
  </si>
  <si>
    <t>11</t>
  </si>
  <si>
    <t>2015</t>
  </si>
  <si>
    <t>Dominick Ramondelli</t>
  </si>
  <si>
    <t>************3259</t>
  </si>
  <si>
    <t>9cc49d53-3ccf-43b2-8042-d59fb805f237</t>
  </si>
  <si>
    <t>1116</t>
  </si>
  <si>
    <t>103073027342</t>
  </si>
  <si>
    <t>2013-02-06 19:10:30</t>
  </si>
  <si>
    <t>2013-02-07 03:10:38</t>
  </si>
  <si>
    <t>2013-02-06 07:10:48</t>
  </si>
  <si>
    <t>ca7092a3-e31d-4780-840a-1dde7c97dfd0</t>
  </si>
  <si>
    <t>1113</t>
  </si>
  <si>
    <t>103073021819</t>
  </si>
  <si>
    <t>2013-02-06 14:47:37</t>
  </si>
  <si>
    <t>2013-02-06 10:47:44</t>
  </si>
  <si>
    <t>2013-02-06 02:47:56</t>
  </si>
  <si>
    <t>c82ac1a5-1c7c-459d-bb1b-bdc0312f41eb</t>
  </si>
  <si>
    <t>1102</t>
  </si>
  <si>
    <t>103073014981</t>
  </si>
  <si>
    <t>2013-02-06 02:53:48</t>
  </si>
  <si>
    <t>2013-02-06 10:53:54</t>
  </si>
  <si>
    <t>2013-02-06 02:54:04</t>
  </si>
  <si>
    <t>166.147.124.15</t>
  </si>
  <si>
    <t>3bed02ee-f1c8-4057-b78e-fa463189eb1f</t>
  </si>
  <si>
    <t>1099</t>
  </si>
  <si>
    <t>103073011127</t>
  </si>
  <si>
    <t>2013-02-05 23:05:21</t>
  </si>
  <si>
    <t>2013-02-06 07:05:30</t>
  </si>
  <si>
    <t>2013-02-05 11:05:37</t>
  </si>
  <si>
    <t>97.166.101.146</t>
  </si>
  <si>
    <t>SBOMG8438</t>
  </si>
  <si>
    <t>QP1</t>
  </si>
  <si>
    <t>Y</t>
  </si>
  <si>
    <t>bc27427f-ef75-4702-b2e6-07df864d61f8</t>
  </si>
  <si>
    <t>CR</t>
  </si>
  <si>
    <t>INTERNET</t>
  </si>
  <si>
    <t>SBO7152</t>
  </si>
  <si>
    <t>DNP</t>
  </si>
  <si>
    <t>SBO6160</t>
  </si>
  <si>
    <t>SBO7008</t>
  </si>
  <si>
    <t>SBO6855</t>
  </si>
  <si>
    <t>SBO6106</t>
  </si>
  <si>
    <t>SBO DNP</t>
  </si>
  <si>
    <t>DNP-1091</t>
  </si>
  <si>
    <t>DNP-1091 Reup VISA</t>
  </si>
  <si>
    <t>DNP-1096</t>
  </si>
  <si>
    <t>DNP-1096 Reup VISA</t>
  </si>
  <si>
    <t>DNP-1098</t>
  </si>
  <si>
    <t>DNP-1098 Reup VISA</t>
  </si>
  <si>
    <t>DNP-1162</t>
  </si>
  <si>
    <t>DNP-1162 Reup VISA</t>
  </si>
  <si>
    <t>DNP-1170</t>
  </si>
  <si>
    <t>DNP-1170 Reup VISA</t>
  </si>
  <si>
    <t>DNP-1187</t>
  </si>
  <si>
    <t>DNP-1187 Reup VISA</t>
  </si>
  <si>
    <t>SBO QP1</t>
  </si>
  <si>
    <t>QP1-1099</t>
  </si>
  <si>
    <t>QP1-1099 Reup VISA</t>
  </si>
  <si>
    <t>QP1-1102</t>
  </si>
  <si>
    <t>QP1-1102 Reup VISA</t>
  </si>
  <si>
    <t>QP1-1113</t>
  </si>
  <si>
    <t>QP1-1113 Reup VISA</t>
  </si>
  <si>
    <t>QP1-1116</t>
  </si>
  <si>
    <t>QP1-1116 Reup VISA</t>
  </si>
  <si>
    <t>QP1-1117</t>
  </si>
  <si>
    <t>QP1-1117 Reup VISA</t>
  </si>
  <si>
    <t>QP1-1118</t>
  </si>
  <si>
    <t>QP1-1118 Reup VISA</t>
  </si>
  <si>
    <t>QP1-1125</t>
  </si>
  <si>
    <t>QP1-1125 Reup VISA</t>
  </si>
  <si>
    <t>QP1-1126</t>
  </si>
  <si>
    <t>QP1-1126 Reup VISA</t>
  </si>
  <si>
    <t>QP1-1185</t>
  </si>
  <si>
    <t>QP1-1185 Reup VISA</t>
  </si>
  <si>
    <t>QP1-1188</t>
  </si>
  <si>
    <t>QP1-1188 Reup VISA</t>
  </si>
  <si>
    <t>DF</t>
  </si>
  <si>
    <t>DGSDNP</t>
  </si>
  <si>
    <t>DGSQP1</t>
  </si>
  <si>
    <t>***</t>
  </si>
  <si>
    <t xml:space="preserve">DGSQP </t>
  </si>
  <si>
    <t xml:space="preserve">QP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</si>
</sst>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.00"/>
    <numFmt numFmtId="165" formatCode="yyyy\-mm\-dd\ hh:mm:ss"/>
    <numFmt numFmtId="166" formatCode="mmm&quot;-&quot;dd&quot;-&quot;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</font>
    <font>
      <sz val="8"/>
      <color indexed="8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NumberFormat="0" applyFont="0" applyFill="0" applyBorder="0" applyAlignment="0" applyProtection="0">
      <alignment vertical="top"/>
      <protection locked="0"/>
    </xf>
    <xf numFmtId="0" fontId="18" fillId="0" borderId="0"/>
  </cellStyleXfs>
  <cellXfs count="29">
    <xf numFmtId="0" fontId="0" fillId="0" borderId="0" xfId="0"/>
    <xf numFmtId="0" fontId="0" fillId="0" borderId="0" xfId="42" applyNumberFormat="1" applyFont="1" applyFill="1" applyBorder="1" applyAlignment="1" applyProtection="1">
      <alignment vertical="top"/>
      <protection locked="0"/>
    </xf>
    <xf numFmtId="0" fontId="18" fillId="0" borderId="0" xfId="43" applyNumberFormat="1" applyFill="1" applyBorder="1" applyAlignment="1" applyProtection="1"/>
    <xf numFmtId="3" fontId="19" fillId="0" borderId="0" xfId="43" applyNumberFormat="1" applyFont="1" applyAlignment="1">
      <alignment horizontal="right" vertical="center"/>
    </xf>
    <xf numFmtId="0" fontId="19" fillId="0" borderId="0" xfId="43" applyFont="1" applyAlignment="1">
      <alignment vertical="center"/>
    </xf>
    <xf numFmtId="164" fontId="0" fillId="0" borderId="0" xfId="42" applyNumberFormat="1" applyFont="1" applyFill="1" applyBorder="1" applyAlignment="1" applyProtection="1">
      <alignment vertical="top"/>
      <protection locked="0"/>
    </xf>
    <xf numFmtId="3" fontId="0" fillId="0" borderId="0" xfId="0" applyNumberFormat="1"/>
    <xf numFmtId="166" fontId="19" fillId="0" borderId="0" xfId="43" applyNumberFormat="1" applyFont="1" applyAlignment="1">
      <alignment vertical="center"/>
    </xf>
    <xf numFmtId="165" fontId="0" fillId="0" borderId="0" xfId="42" applyNumberFormat="1" applyFont="1" applyFill="1" applyBorder="1" applyAlignment="1" applyProtection="1">
      <alignment vertical="top"/>
      <protection locked="0"/>
    </xf>
    <xf numFmtId="0" fontId="6" fillId="2" borderId="0" xfId="6" applyNumberFormat="1" applyBorder="1" applyAlignment="1" applyProtection="1">
      <alignment horizontal="right" vertical="top"/>
      <protection locked="0"/>
    </xf>
    <xf numFmtId="0" fontId="18" fillId="0" borderId="0" xfId="43" applyNumberFormat="1" applyFill="1" applyBorder="1" applyAlignment="1" applyProtection="1"/>
    <xf numFmtId="0" fontId="8" fillId="4" borderId="0" xfId="8"/>
    <xf numFmtId="0" fontId="19" fillId="0" borderId="0" xfId="43" applyFont="1" applyAlignment="1">
      <alignment vertical="center"/>
    </xf>
    <xf numFmtId="3" fontId="1" fillId="11" borderId="0" xfId="20" applyNumberFormat="1" applyAlignment="1">
      <alignment horizontal="right" vertical="center"/>
    </xf>
    <xf numFmtId="0" fontId="7" fillId="3" borderId="0" xfId="7"/>
    <xf numFmtId="0" fontId="1" fillId="11" borderId="0" xfId="20"/>
    <xf numFmtId="3" fontId="19" fillId="0" borderId="0" xfId="43" applyNumberFormat="1" applyFont="1" applyAlignment="1">
      <alignment horizontal="right" vertical="center"/>
    </xf>
    <xf numFmtId="0" fontId="6" fillId="2" borderId="0" xfId="6"/>
    <xf numFmtId="0" fontId="1" fillId="11" borderId="0" xfId="20" applyAlignment="1">
      <alignment vertical="center"/>
    </xf>
    <xf numFmtId="166" fontId="19" fillId="0" borderId="0" xfId="43" applyNumberFormat="1" applyFont="1" applyAlignment="1">
      <alignment vertical="center"/>
    </xf>
    <xf numFmtId="0" fontId="0" fillId="0" borderId="0" xfId="0"/>
    <xf numFmtId="22" fontId="0" fillId="0" borderId="0" xfId="0" applyNumberFormat="1"/>
    <xf numFmtId="164" fontId="6" fillId="2" borderId="0" xfId="6" applyNumberFormat="1" applyBorder="1" applyAlignment="1" applyProtection="1">
      <alignment vertical="top"/>
      <protection locked="0"/>
    </xf>
    <xf numFmtId="0" fontId="0" fillId="0" borderId="0" xfId="0"/>
    <xf numFmtId="22" fontId="0" fillId="0" borderId="0" xfId="0" applyNumberFormat="1"/>
    <xf numFmtId="0" fontId="1" fillId="19" borderId="0" xfId="28" applyAlignment="1">
      <alignment vertical="center"/>
    </xf>
    <xf numFmtId="0" fontId="1" fillId="19" borderId="0" xfId="28"/>
    <xf numFmtId="3" fontId="1" fillId="19" borderId="0" xfId="28" applyNumberFormat="1" applyAlignment="1">
      <alignment horizontal="right" vertical="center"/>
    </xf>
    <xf numFmtId="3" fontId="7" fillId="3" borderId="0" xfId="7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J20" sqref="J20"/>
    </sheetView>
  </sheetViews>
  <sheetFormatPr defaultRowHeight="15" x14ac:dyDescent="0.25"/>
  <sheetData>
    <row r="1" spans="1:20" x14ac:dyDescent="0.25">
      <c r="A1" s="20"/>
      <c r="B1" s="21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20">
        <v>65544628</v>
      </c>
      <c r="B2" s="21">
        <v>41309.951585648145</v>
      </c>
      <c r="C2" s="20" t="s">
        <v>5</v>
      </c>
      <c r="D2" s="20" t="s">
        <v>6</v>
      </c>
      <c r="E2" s="20" t="s">
        <v>0</v>
      </c>
      <c r="F2" s="20" t="s">
        <v>1</v>
      </c>
      <c r="G2" s="20">
        <v>8183269901</v>
      </c>
      <c r="H2" s="20">
        <v>34</v>
      </c>
      <c r="I2" s="20" t="s">
        <v>7</v>
      </c>
      <c r="J2" s="20" t="s">
        <v>8</v>
      </c>
      <c r="K2" s="20" t="s">
        <v>9</v>
      </c>
      <c r="L2" s="20" t="s">
        <v>10</v>
      </c>
      <c r="M2" s="20" t="s">
        <v>11</v>
      </c>
      <c r="N2" s="20">
        <v>20</v>
      </c>
      <c r="O2" s="20">
        <v>0.95</v>
      </c>
      <c r="P2" s="20" t="s">
        <v>3</v>
      </c>
      <c r="Q2" s="20" t="s">
        <v>12</v>
      </c>
      <c r="R2" s="20">
        <v>1091</v>
      </c>
      <c r="S2" s="20" t="s">
        <v>4</v>
      </c>
      <c r="T2" s="20">
        <v>0</v>
      </c>
    </row>
    <row r="3" spans="1:20" x14ac:dyDescent="0.25">
      <c r="A3" s="20">
        <v>65545080</v>
      </c>
      <c r="B3" s="21">
        <v>41310.101678240739</v>
      </c>
      <c r="C3" s="20" t="s">
        <v>13</v>
      </c>
      <c r="D3" s="20" t="s">
        <v>14</v>
      </c>
      <c r="E3" s="20" t="s">
        <v>15</v>
      </c>
      <c r="F3" s="20" t="s">
        <v>1</v>
      </c>
      <c r="G3" s="20">
        <v>6463695243</v>
      </c>
      <c r="H3" s="20">
        <v>33</v>
      </c>
      <c r="I3" s="20" t="s">
        <v>16</v>
      </c>
      <c r="J3" s="20" t="s">
        <v>17</v>
      </c>
      <c r="K3" s="20" t="s">
        <v>9</v>
      </c>
      <c r="L3" s="20" t="s">
        <v>10</v>
      </c>
      <c r="M3" s="20" t="s">
        <v>18</v>
      </c>
      <c r="N3" s="20">
        <v>250</v>
      </c>
      <c r="O3" s="20">
        <v>0.95</v>
      </c>
      <c r="P3" s="20" t="s">
        <v>3</v>
      </c>
      <c r="Q3" s="20" t="s">
        <v>19</v>
      </c>
      <c r="R3" s="20">
        <v>1096</v>
      </c>
      <c r="S3" s="20" t="s">
        <v>4</v>
      </c>
      <c r="T3" s="20">
        <v>0</v>
      </c>
    </row>
    <row r="4" spans="1:20" x14ac:dyDescent="0.25">
      <c r="A4" s="20">
        <v>65545781</v>
      </c>
      <c r="B4" s="21">
        <v>41310.736909722225</v>
      </c>
      <c r="C4" s="20" t="s">
        <v>20</v>
      </c>
      <c r="D4" s="20" t="s">
        <v>21</v>
      </c>
      <c r="E4" s="20" t="s">
        <v>0</v>
      </c>
      <c r="F4" s="20" t="s">
        <v>1</v>
      </c>
      <c r="G4" s="20">
        <v>7145555555</v>
      </c>
      <c r="H4" s="20">
        <v>21</v>
      </c>
      <c r="I4" s="20" t="s">
        <v>22</v>
      </c>
      <c r="J4" s="20" t="s">
        <v>23</v>
      </c>
      <c r="K4" s="20" t="s">
        <v>2</v>
      </c>
      <c r="L4" s="20" t="s">
        <v>2</v>
      </c>
      <c r="M4" s="20"/>
      <c r="N4" s="20">
        <v>25</v>
      </c>
      <c r="O4" s="20">
        <v>0.95</v>
      </c>
      <c r="P4" s="20" t="s">
        <v>3</v>
      </c>
      <c r="Q4" s="20" t="s">
        <v>24</v>
      </c>
      <c r="R4" s="20">
        <v>1098</v>
      </c>
      <c r="S4" s="20" t="s">
        <v>4</v>
      </c>
      <c r="T4" s="20">
        <v>0</v>
      </c>
    </row>
    <row r="5" spans="1:20" x14ac:dyDescent="0.25">
      <c r="A5" s="20">
        <v>65550589</v>
      </c>
      <c r="B5" s="21">
        <v>41313.325775462959</v>
      </c>
      <c r="C5" s="20" t="s">
        <v>20</v>
      </c>
      <c r="D5" s="20" t="s">
        <v>21</v>
      </c>
      <c r="E5" s="20" t="s">
        <v>0</v>
      </c>
      <c r="F5" s="20" t="s">
        <v>1</v>
      </c>
      <c r="G5" s="20">
        <v>7145555555</v>
      </c>
      <c r="H5" s="20">
        <v>21</v>
      </c>
      <c r="I5" s="20" t="s">
        <v>22</v>
      </c>
      <c r="J5" s="20" t="s">
        <v>23</v>
      </c>
      <c r="K5" s="20" t="s">
        <v>2</v>
      </c>
      <c r="L5" s="20" t="s">
        <v>2</v>
      </c>
      <c r="M5" s="20"/>
      <c r="N5" s="20">
        <v>20</v>
      </c>
      <c r="O5" s="20">
        <v>0.95</v>
      </c>
      <c r="P5" s="20" t="s">
        <v>3</v>
      </c>
      <c r="Q5" s="20" t="s">
        <v>25</v>
      </c>
      <c r="R5" s="20">
        <v>1162</v>
      </c>
      <c r="S5" s="20" t="s">
        <v>4</v>
      </c>
      <c r="T5" s="20">
        <v>0</v>
      </c>
    </row>
    <row r="6" spans="1:20" x14ac:dyDescent="0.25">
      <c r="A6" s="20">
        <v>65551359</v>
      </c>
      <c r="B6" s="21">
        <v>41313.878854166665</v>
      </c>
      <c r="C6" s="20" t="s">
        <v>5</v>
      </c>
      <c r="D6" s="20" t="s">
        <v>6</v>
      </c>
      <c r="E6" s="20" t="s">
        <v>0</v>
      </c>
      <c r="F6" s="20" t="s">
        <v>1</v>
      </c>
      <c r="G6" s="20">
        <v>8183269901</v>
      </c>
      <c r="H6" s="20">
        <v>34</v>
      </c>
      <c r="I6" s="20" t="s">
        <v>26</v>
      </c>
      <c r="J6" s="20" t="s">
        <v>8</v>
      </c>
      <c r="K6" s="20" t="s">
        <v>9</v>
      </c>
      <c r="L6" s="20" t="s">
        <v>10</v>
      </c>
      <c r="M6" s="20" t="s">
        <v>11</v>
      </c>
      <c r="N6" s="20">
        <v>20</v>
      </c>
      <c r="O6" s="20">
        <v>0.95</v>
      </c>
      <c r="P6" s="20" t="s">
        <v>3</v>
      </c>
      <c r="Q6" s="20" t="s">
        <v>27</v>
      </c>
      <c r="R6" s="20">
        <v>1170</v>
      </c>
      <c r="S6" s="20" t="s">
        <v>4</v>
      </c>
      <c r="T6" s="20">
        <v>0</v>
      </c>
    </row>
    <row r="7" spans="1:20" x14ac:dyDescent="0.25">
      <c r="A7" s="20">
        <v>65555931</v>
      </c>
      <c r="B7" s="21">
        <v>41315.780497685184</v>
      </c>
      <c r="C7" s="20" t="s">
        <v>28</v>
      </c>
      <c r="D7" s="20" t="s">
        <v>29</v>
      </c>
      <c r="E7" s="20" t="s">
        <v>0</v>
      </c>
      <c r="F7" s="20" t="s">
        <v>1</v>
      </c>
      <c r="G7" s="20">
        <v>7603848901</v>
      </c>
      <c r="H7" s="20">
        <v>44</v>
      </c>
      <c r="I7" s="20" t="s">
        <v>30</v>
      </c>
      <c r="J7" s="20" t="s">
        <v>31</v>
      </c>
      <c r="K7" s="20" t="s">
        <v>9</v>
      </c>
      <c r="L7" s="20" t="s">
        <v>10</v>
      </c>
      <c r="M7" s="20" t="s">
        <v>18</v>
      </c>
      <c r="N7" s="20">
        <v>30.29</v>
      </c>
      <c r="O7" s="20">
        <v>0.95</v>
      </c>
      <c r="P7" s="20" t="s">
        <v>3</v>
      </c>
      <c r="Q7" s="20" t="s">
        <v>32</v>
      </c>
      <c r="R7" s="20">
        <v>1187</v>
      </c>
      <c r="S7" s="20" t="s">
        <v>4</v>
      </c>
      <c r="T7" s="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Views>
    <sheetView workbookViewId="0">
      <selection activeCell="F12" sqref="F12"/>
    </sheetView>
  </sheetViews>
  <sheetFormatPr defaultRowHeight="15" x14ac:dyDescent="0.25"/>
  <sheetData>
    <row r="1" spans="1:27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5">
        <v>49.91</v>
      </c>
      <c r="G1" s="1" t="s">
        <v>38</v>
      </c>
      <c r="H1" s="8" t="s">
        <v>39</v>
      </c>
      <c r="I1" s="8" t="s">
        <v>40</v>
      </c>
      <c r="J1" s="8" t="s">
        <v>41</v>
      </c>
      <c r="K1" s="1" t="s">
        <v>10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34</v>
      </c>
      <c r="Y1" s="1" t="s">
        <v>54</v>
      </c>
      <c r="Z1" s="1" t="s">
        <v>55</v>
      </c>
      <c r="AA1" s="1" t="s">
        <v>56</v>
      </c>
    </row>
    <row r="2" spans="1:27" x14ac:dyDescent="0.25">
      <c r="A2" s="1" t="s">
        <v>57</v>
      </c>
      <c r="B2" s="1" t="s">
        <v>58</v>
      </c>
      <c r="C2" s="1" t="s">
        <v>59</v>
      </c>
      <c r="D2" s="1" t="s">
        <v>36</v>
      </c>
      <c r="E2" s="1" t="s">
        <v>37</v>
      </c>
      <c r="F2" s="5">
        <v>49.94</v>
      </c>
      <c r="G2" s="1" t="s">
        <v>60</v>
      </c>
      <c r="H2" s="8" t="s">
        <v>61</v>
      </c>
      <c r="I2" s="8" t="s">
        <v>62</v>
      </c>
      <c r="J2" s="8" t="s">
        <v>63</v>
      </c>
      <c r="K2" s="1" t="s">
        <v>10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58</v>
      </c>
      <c r="Y2" s="1" t="s">
        <v>54</v>
      </c>
      <c r="Z2" s="1" t="s">
        <v>55</v>
      </c>
      <c r="AA2" s="1" t="s">
        <v>56</v>
      </c>
    </row>
    <row r="3" spans="1:27" x14ac:dyDescent="0.25">
      <c r="A3" s="1" t="s">
        <v>64</v>
      </c>
      <c r="B3" s="1" t="s">
        <v>65</v>
      </c>
      <c r="C3" s="1" t="s">
        <v>66</v>
      </c>
      <c r="D3" s="1" t="s">
        <v>36</v>
      </c>
      <c r="E3" s="1" t="s">
        <v>37</v>
      </c>
      <c r="F3" s="5">
        <v>49.92</v>
      </c>
      <c r="G3" s="1" t="s">
        <v>60</v>
      </c>
      <c r="H3" s="8" t="s">
        <v>67</v>
      </c>
      <c r="I3" s="8" t="s">
        <v>68</v>
      </c>
      <c r="J3" s="8" t="s">
        <v>69</v>
      </c>
      <c r="K3" s="1" t="s">
        <v>10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53</v>
      </c>
      <c r="X3" s="1" t="s">
        <v>65</v>
      </c>
      <c r="Y3" s="1" t="s">
        <v>54</v>
      </c>
      <c r="Z3" s="1" t="s">
        <v>55</v>
      </c>
      <c r="AA3" s="1" t="s">
        <v>56</v>
      </c>
    </row>
    <row r="4" spans="1:27" x14ac:dyDescent="0.25">
      <c r="A4" s="1" t="s">
        <v>70</v>
      </c>
      <c r="B4" s="1" t="s">
        <v>71</v>
      </c>
      <c r="C4" s="1" t="s">
        <v>72</v>
      </c>
      <c r="D4" s="1" t="s">
        <v>36</v>
      </c>
      <c r="E4" s="1" t="s">
        <v>37</v>
      </c>
      <c r="F4" s="5">
        <v>49.95</v>
      </c>
      <c r="G4" s="1" t="s">
        <v>60</v>
      </c>
      <c r="H4" s="8" t="s">
        <v>73</v>
      </c>
      <c r="I4" s="8" t="s">
        <v>74</v>
      </c>
      <c r="J4" s="8" t="s">
        <v>75</v>
      </c>
      <c r="K4" s="1" t="s">
        <v>10</v>
      </c>
      <c r="L4" s="1" t="s">
        <v>76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 t="s">
        <v>49</v>
      </c>
      <c r="T4" s="1" t="s">
        <v>50</v>
      </c>
      <c r="U4" s="1" t="s">
        <v>51</v>
      </c>
      <c r="V4" s="1" t="s">
        <v>52</v>
      </c>
      <c r="W4" s="1" t="s">
        <v>53</v>
      </c>
      <c r="X4" s="1" t="s">
        <v>71</v>
      </c>
      <c r="Y4" s="1" t="s">
        <v>54</v>
      </c>
      <c r="Z4" s="1" t="s">
        <v>55</v>
      </c>
      <c r="AA4" s="1" t="s">
        <v>56</v>
      </c>
    </row>
    <row r="5" spans="1:27" x14ac:dyDescent="0.25">
      <c r="A5" s="1" t="s">
        <v>77</v>
      </c>
      <c r="B5" s="1" t="s">
        <v>78</v>
      </c>
      <c r="C5" s="1" t="s">
        <v>79</v>
      </c>
      <c r="D5" s="1" t="s">
        <v>36</v>
      </c>
      <c r="E5" s="1" t="s">
        <v>37</v>
      </c>
      <c r="F5" s="5">
        <v>99.98</v>
      </c>
      <c r="G5" s="1" t="s">
        <v>60</v>
      </c>
      <c r="H5" s="8" t="s">
        <v>80</v>
      </c>
      <c r="I5" s="8" t="s">
        <v>81</v>
      </c>
      <c r="J5" s="8" t="s">
        <v>82</v>
      </c>
      <c r="K5" s="1" t="s">
        <v>10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48</v>
      </c>
      <c r="S5" s="1" t="s">
        <v>89</v>
      </c>
      <c r="T5" s="1" t="s">
        <v>50</v>
      </c>
      <c r="U5" s="1" t="s">
        <v>51</v>
      </c>
      <c r="V5" s="1" t="s">
        <v>90</v>
      </c>
      <c r="W5" s="1" t="s">
        <v>91</v>
      </c>
      <c r="X5" s="1" t="s">
        <v>78</v>
      </c>
      <c r="Y5" s="1" t="s">
        <v>92</v>
      </c>
      <c r="Z5" s="1" t="s">
        <v>93</v>
      </c>
      <c r="AA5" s="1" t="s">
        <v>56</v>
      </c>
    </row>
    <row r="6" spans="1:27" x14ac:dyDescent="0.25">
      <c r="A6" s="1" t="s">
        <v>94</v>
      </c>
      <c r="B6" s="1" t="s">
        <v>95</v>
      </c>
      <c r="C6" s="1" t="s">
        <v>96</v>
      </c>
      <c r="D6" s="1" t="s">
        <v>36</v>
      </c>
      <c r="E6" s="1" t="s">
        <v>37</v>
      </c>
      <c r="F6" s="5">
        <v>49.97</v>
      </c>
      <c r="G6" s="1" t="s">
        <v>60</v>
      </c>
      <c r="H6" s="8" t="s">
        <v>97</v>
      </c>
      <c r="I6" s="8" t="s">
        <v>98</v>
      </c>
      <c r="J6" s="8" t="s">
        <v>99</v>
      </c>
      <c r="K6" s="1" t="s">
        <v>10</v>
      </c>
      <c r="L6" s="1" t="s">
        <v>83</v>
      </c>
      <c r="M6" s="1" t="s">
        <v>84</v>
      </c>
      <c r="N6" s="1" t="s">
        <v>85</v>
      </c>
      <c r="O6" s="1" t="s">
        <v>86</v>
      </c>
      <c r="P6" s="1" t="s">
        <v>87</v>
      </c>
      <c r="Q6" s="1" t="s">
        <v>88</v>
      </c>
      <c r="R6" s="1" t="s">
        <v>48</v>
      </c>
      <c r="S6" s="1" t="s">
        <v>89</v>
      </c>
      <c r="T6" s="1" t="s">
        <v>50</v>
      </c>
      <c r="U6" s="1" t="s">
        <v>51</v>
      </c>
      <c r="V6" s="1" t="s">
        <v>90</v>
      </c>
      <c r="W6" s="1" t="s">
        <v>91</v>
      </c>
      <c r="X6" s="1" t="s">
        <v>95</v>
      </c>
      <c r="Y6" s="1" t="s">
        <v>92</v>
      </c>
      <c r="Z6" s="1" t="s">
        <v>93</v>
      </c>
      <c r="AA6" s="1" t="s">
        <v>56</v>
      </c>
    </row>
    <row r="7" spans="1:27" x14ac:dyDescent="0.25">
      <c r="A7" s="1" t="s">
        <v>100</v>
      </c>
      <c r="B7" s="1" t="s">
        <v>101</v>
      </c>
      <c r="C7" s="1" t="s">
        <v>102</v>
      </c>
      <c r="D7" s="1" t="s">
        <v>36</v>
      </c>
      <c r="E7" s="1" t="s">
        <v>37</v>
      </c>
      <c r="F7" s="5">
        <v>99.97</v>
      </c>
      <c r="G7" s="1" t="s">
        <v>60</v>
      </c>
      <c r="H7" s="8" t="s">
        <v>103</v>
      </c>
      <c r="I7" s="8" t="s">
        <v>104</v>
      </c>
      <c r="J7" s="8" t="s">
        <v>105</v>
      </c>
      <c r="K7" s="1" t="s">
        <v>10</v>
      </c>
      <c r="L7" s="1" t="s">
        <v>83</v>
      </c>
      <c r="M7" s="1" t="s">
        <v>84</v>
      </c>
      <c r="N7" s="1" t="s">
        <v>85</v>
      </c>
      <c r="O7" s="1" t="s">
        <v>86</v>
      </c>
      <c r="P7" s="1" t="s">
        <v>87</v>
      </c>
      <c r="Q7" s="1" t="s">
        <v>88</v>
      </c>
      <c r="R7" s="1" t="s">
        <v>48</v>
      </c>
      <c r="S7" s="1" t="s">
        <v>89</v>
      </c>
      <c r="T7" s="1" t="s">
        <v>50</v>
      </c>
      <c r="U7" s="1" t="s">
        <v>51</v>
      </c>
      <c r="V7" s="1" t="s">
        <v>90</v>
      </c>
      <c r="W7" s="1" t="s">
        <v>91</v>
      </c>
      <c r="X7" s="1" t="s">
        <v>101</v>
      </c>
      <c r="Y7" s="1" t="s">
        <v>92</v>
      </c>
      <c r="Z7" s="1" t="s">
        <v>93</v>
      </c>
      <c r="AA7" s="1" t="s">
        <v>56</v>
      </c>
    </row>
    <row r="8" spans="1:27" x14ac:dyDescent="0.25">
      <c r="A8" s="1" t="s">
        <v>106</v>
      </c>
      <c r="B8" s="1" t="s">
        <v>107</v>
      </c>
      <c r="C8" s="1" t="s">
        <v>108</v>
      </c>
      <c r="D8" s="1" t="s">
        <v>36</v>
      </c>
      <c r="E8" s="1" t="s">
        <v>37</v>
      </c>
      <c r="F8" s="5">
        <v>99.99</v>
      </c>
      <c r="G8" s="1" t="s">
        <v>60</v>
      </c>
      <c r="H8" s="8" t="s">
        <v>109</v>
      </c>
      <c r="I8" s="8" t="s">
        <v>110</v>
      </c>
      <c r="J8" s="8" t="s">
        <v>111</v>
      </c>
      <c r="K8" s="1" t="s">
        <v>10</v>
      </c>
      <c r="L8" s="1" t="s">
        <v>112</v>
      </c>
      <c r="M8" s="1" t="s">
        <v>43</v>
      </c>
      <c r="N8" s="1" t="s">
        <v>44</v>
      </c>
      <c r="O8" s="1" t="s">
        <v>45</v>
      </c>
      <c r="P8" s="1" t="s">
        <v>46</v>
      </c>
      <c r="Q8" s="1" t="s">
        <v>47</v>
      </c>
      <c r="R8" s="1" t="s">
        <v>48</v>
      </c>
      <c r="S8" s="1" t="s">
        <v>49</v>
      </c>
      <c r="T8" s="1" t="s">
        <v>50</v>
      </c>
      <c r="U8" s="1" t="s">
        <v>51</v>
      </c>
      <c r="V8" s="1" t="s">
        <v>52</v>
      </c>
      <c r="W8" s="1" t="s">
        <v>53</v>
      </c>
      <c r="X8" s="1" t="s">
        <v>107</v>
      </c>
      <c r="Y8" s="1" t="s">
        <v>54</v>
      </c>
      <c r="Z8" s="1" t="s">
        <v>55</v>
      </c>
      <c r="AA8" s="1" t="s">
        <v>56</v>
      </c>
    </row>
    <row r="9" spans="1:27" x14ac:dyDescent="0.25">
      <c r="A9" s="1" t="s">
        <v>113</v>
      </c>
      <c r="B9" s="1" t="s">
        <v>114</v>
      </c>
      <c r="C9" s="1" t="s">
        <v>115</v>
      </c>
      <c r="D9" s="1" t="s">
        <v>36</v>
      </c>
      <c r="E9" s="1" t="s">
        <v>37</v>
      </c>
      <c r="F9" s="5">
        <v>49.99</v>
      </c>
      <c r="G9" s="1" t="s">
        <v>60</v>
      </c>
      <c r="H9" s="8" t="s">
        <v>116</v>
      </c>
      <c r="I9" s="8" t="s">
        <v>117</v>
      </c>
      <c r="J9" s="8" t="s">
        <v>118</v>
      </c>
      <c r="K9" s="1" t="s">
        <v>10</v>
      </c>
      <c r="L9" s="1" t="s">
        <v>119</v>
      </c>
      <c r="M9" s="1" t="s">
        <v>84</v>
      </c>
      <c r="N9" s="1" t="s">
        <v>85</v>
      </c>
      <c r="O9" s="1" t="s">
        <v>86</v>
      </c>
      <c r="P9" s="1" t="s">
        <v>87</v>
      </c>
      <c r="Q9" s="1" t="s">
        <v>88</v>
      </c>
      <c r="R9" s="1" t="s">
        <v>48</v>
      </c>
      <c r="S9" s="1" t="s">
        <v>89</v>
      </c>
      <c r="T9" s="1" t="s">
        <v>50</v>
      </c>
      <c r="U9" s="1" t="s">
        <v>51</v>
      </c>
      <c r="V9" s="1" t="s">
        <v>90</v>
      </c>
      <c r="W9" s="1" t="s">
        <v>91</v>
      </c>
      <c r="X9" s="1" t="s">
        <v>114</v>
      </c>
      <c r="Y9" s="1" t="s">
        <v>92</v>
      </c>
      <c r="Z9" s="1" t="s">
        <v>93</v>
      </c>
      <c r="AA9" s="1" t="s">
        <v>56</v>
      </c>
    </row>
    <row r="10" spans="1:27" x14ac:dyDescent="0.25">
      <c r="A10" s="1"/>
      <c r="B10" s="1">
        <v>1188</v>
      </c>
      <c r="C10" s="1"/>
      <c r="D10" s="1"/>
      <c r="E10" s="1"/>
      <c r="F10" s="5">
        <v>49.96</v>
      </c>
      <c r="G10" s="1"/>
      <c r="H10" s="8"/>
      <c r="I10" s="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/>
      <c r="B11" s="1"/>
      <c r="C11" s="1"/>
      <c r="D11" s="1"/>
      <c r="E11" s="1"/>
      <c r="F11" s="5"/>
      <c r="G11" s="1"/>
      <c r="H11" s="8"/>
      <c r="I11" s="8"/>
      <c r="J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F1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K1" sqref="K1:K16"/>
    </sheetView>
  </sheetViews>
  <sheetFormatPr defaultRowHeight="15" x14ac:dyDescent="0.25"/>
  <sheetData>
    <row r="1" spans="1:13" x14ac:dyDescent="0.25">
      <c r="A1" s="23">
        <v>1188</v>
      </c>
      <c r="B1" s="23">
        <v>3</v>
      </c>
      <c r="C1" s="23" t="s">
        <v>120</v>
      </c>
      <c r="D1" s="23" t="s">
        <v>54</v>
      </c>
      <c r="E1" s="23" t="s">
        <v>121</v>
      </c>
      <c r="F1" s="23" t="s">
        <v>122</v>
      </c>
      <c r="G1" s="23" t="s">
        <v>123</v>
      </c>
      <c r="H1" s="23"/>
      <c r="I1" s="23" t="s">
        <v>36</v>
      </c>
      <c r="J1" s="23" t="s">
        <v>124</v>
      </c>
      <c r="K1" s="23">
        <v>50</v>
      </c>
      <c r="L1" s="23" t="s">
        <v>125</v>
      </c>
      <c r="M1" s="24">
        <v>41315.826597222222</v>
      </c>
    </row>
    <row r="2" spans="1:13" x14ac:dyDescent="0.25">
      <c r="A2" s="23">
        <v>1187</v>
      </c>
      <c r="B2" s="23">
        <v>1</v>
      </c>
      <c r="C2" s="23" t="s">
        <v>126</v>
      </c>
      <c r="D2" s="23" t="s">
        <v>29</v>
      </c>
      <c r="E2" s="23" t="s">
        <v>127</v>
      </c>
      <c r="F2" s="23" t="s">
        <v>122</v>
      </c>
      <c r="G2" s="23">
        <v>65531136</v>
      </c>
      <c r="H2" s="23"/>
      <c r="I2" s="23" t="s">
        <v>3</v>
      </c>
      <c r="J2" s="23" t="s">
        <v>124</v>
      </c>
      <c r="K2" s="23">
        <v>30.29</v>
      </c>
      <c r="L2" s="23" t="s">
        <v>125</v>
      </c>
      <c r="M2" s="24">
        <v>41315.572175925925</v>
      </c>
    </row>
    <row r="3" spans="1:13" x14ac:dyDescent="0.25">
      <c r="A3" s="23">
        <v>1185</v>
      </c>
      <c r="B3" s="23">
        <v>3</v>
      </c>
      <c r="C3" s="23" t="s">
        <v>120</v>
      </c>
      <c r="D3" s="23" t="s">
        <v>54</v>
      </c>
      <c r="E3" s="23" t="s">
        <v>121</v>
      </c>
      <c r="F3" s="23" t="s">
        <v>122</v>
      </c>
      <c r="G3" s="23" t="s">
        <v>33</v>
      </c>
      <c r="H3" s="23"/>
      <c r="I3" s="23" t="s">
        <v>36</v>
      </c>
      <c r="J3" s="23" t="s">
        <v>124</v>
      </c>
      <c r="K3" s="23">
        <v>50</v>
      </c>
      <c r="L3" s="23" t="s">
        <v>125</v>
      </c>
      <c r="M3" s="24">
        <v>41314.999583333331</v>
      </c>
    </row>
    <row r="4" spans="1:13" x14ac:dyDescent="0.25">
      <c r="A4" s="23">
        <v>1170</v>
      </c>
      <c r="B4" s="23">
        <v>1</v>
      </c>
      <c r="C4" s="23" t="s">
        <v>128</v>
      </c>
      <c r="D4" s="23" t="s">
        <v>6</v>
      </c>
      <c r="E4" s="23" t="s">
        <v>127</v>
      </c>
      <c r="F4" s="23" t="s">
        <v>122</v>
      </c>
      <c r="G4" s="23">
        <v>65526507</v>
      </c>
      <c r="H4" s="23"/>
      <c r="I4" s="23" t="s">
        <v>3</v>
      </c>
      <c r="J4" s="23" t="s">
        <v>124</v>
      </c>
      <c r="K4" s="23">
        <v>20</v>
      </c>
      <c r="L4" s="23" t="s">
        <v>125</v>
      </c>
      <c r="M4" s="24">
        <v>41313.670520833337</v>
      </c>
    </row>
    <row r="5" spans="1:13" x14ac:dyDescent="0.25">
      <c r="A5" s="23">
        <v>1162</v>
      </c>
      <c r="B5" s="23">
        <v>1</v>
      </c>
      <c r="C5" s="23" t="s">
        <v>129</v>
      </c>
      <c r="D5" s="23" t="s">
        <v>21</v>
      </c>
      <c r="E5" s="23" t="s">
        <v>127</v>
      </c>
      <c r="F5" s="23" t="s">
        <v>122</v>
      </c>
      <c r="G5" s="23">
        <v>65525729</v>
      </c>
      <c r="H5" s="23"/>
      <c r="I5" s="23" t="s">
        <v>3</v>
      </c>
      <c r="J5" s="23" t="s">
        <v>124</v>
      </c>
      <c r="K5" s="23">
        <v>20</v>
      </c>
      <c r="L5" s="23" t="s">
        <v>125</v>
      </c>
      <c r="M5" s="24">
        <v>41313.1174537037</v>
      </c>
    </row>
    <row r="6" spans="1:13" x14ac:dyDescent="0.25">
      <c r="A6" s="23">
        <v>1126</v>
      </c>
      <c r="B6" s="23">
        <v>3</v>
      </c>
      <c r="C6" s="23" t="s">
        <v>120</v>
      </c>
      <c r="D6" s="23" t="s">
        <v>54</v>
      </c>
      <c r="E6" s="23" t="s">
        <v>121</v>
      </c>
      <c r="F6" s="23" t="s">
        <v>122</v>
      </c>
      <c r="G6" s="23" t="s">
        <v>57</v>
      </c>
      <c r="H6" s="23"/>
      <c r="I6" s="23" t="s">
        <v>36</v>
      </c>
      <c r="J6" s="23" t="s">
        <v>124</v>
      </c>
      <c r="K6" s="23">
        <v>50</v>
      </c>
      <c r="L6" s="23" t="s">
        <v>125</v>
      </c>
      <c r="M6" s="24">
        <v>41312.614814814813</v>
      </c>
    </row>
    <row r="7" spans="1:13" x14ac:dyDescent="0.25">
      <c r="A7" s="23">
        <v>1125</v>
      </c>
      <c r="B7" s="23">
        <v>3</v>
      </c>
      <c r="C7" s="23" t="s">
        <v>120</v>
      </c>
      <c r="D7" s="23" t="s">
        <v>54</v>
      </c>
      <c r="E7" s="23" t="s">
        <v>121</v>
      </c>
      <c r="F7" s="23" t="s">
        <v>122</v>
      </c>
      <c r="G7" s="23" t="s">
        <v>64</v>
      </c>
      <c r="H7" s="23"/>
      <c r="I7" s="23" t="s">
        <v>36</v>
      </c>
      <c r="J7" s="23" t="s">
        <v>124</v>
      </c>
      <c r="K7" s="23">
        <v>50</v>
      </c>
      <c r="L7" s="23" t="s">
        <v>125</v>
      </c>
      <c r="M7" s="24">
        <v>41312.196122685185</v>
      </c>
    </row>
    <row r="8" spans="1:13" x14ac:dyDescent="0.25">
      <c r="A8" s="23">
        <v>1118</v>
      </c>
      <c r="B8" s="23">
        <v>3</v>
      </c>
      <c r="C8" s="23" t="s">
        <v>120</v>
      </c>
      <c r="D8" s="23" t="s">
        <v>54</v>
      </c>
      <c r="E8" s="23" t="s">
        <v>121</v>
      </c>
      <c r="F8" s="23" t="s">
        <v>122</v>
      </c>
      <c r="G8" s="23" t="s">
        <v>70</v>
      </c>
      <c r="H8" s="23"/>
      <c r="I8" s="23" t="s">
        <v>36</v>
      </c>
      <c r="J8" s="23" t="s">
        <v>124</v>
      </c>
      <c r="K8" s="23">
        <v>50</v>
      </c>
      <c r="L8" s="23" t="s">
        <v>125</v>
      </c>
      <c r="M8" s="24">
        <v>41311.75037037037</v>
      </c>
    </row>
    <row r="9" spans="1:13" x14ac:dyDescent="0.25">
      <c r="A9" s="23">
        <v>1117</v>
      </c>
      <c r="B9" s="23">
        <v>2</v>
      </c>
      <c r="C9" s="23" t="s">
        <v>130</v>
      </c>
      <c r="D9" s="23" t="s">
        <v>92</v>
      </c>
      <c r="E9" s="23" t="s">
        <v>121</v>
      </c>
      <c r="F9" s="23" t="s">
        <v>122</v>
      </c>
      <c r="G9" s="23" t="s">
        <v>77</v>
      </c>
      <c r="H9" s="23"/>
      <c r="I9" s="23" t="s">
        <v>36</v>
      </c>
      <c r="J9" s="23" t="s">
        <v>124</v>
      </c>
      <c r="K9" s="23">
        <v>100</v>
      </c>
      <c r="L9" s="23" t="s">
        <v>125</v>
      </c>
      <c r="M9" s="24">
        <v>41311.612002314818</v>
      </c>
    </row>
    <row r="10" spans="1:13" x14ac:dyDescent="0.25">
      <c r="A10" s="23">
        <v>1116</v>
      </c>
      <c r="B10" s="23">
        <v>2</v>
      </c>
      <c r="C10" s="23" t="s">
        <v>130</v>
      </c>
      <c r="D10" s="23" t="s">
        <v>92</v>
      </c>
      <c r="E10" s="23" t="s">
        <v>121</v>
      </c>
      <c r="F10" s="23" t="s">
        <v>122</v>
      </c>
      <c r="G10" s="23" t="s">
        <v>94</v>
      </c>
      <c r="H10" s="23"/>
      <c r="I10" s="23" t="s">
        <v>36</v>
      </c>
      <c r="J10" s="23" t="s">
        <v>124</v>
      </c>
      <c r="K10" s="23">
        <v>50</v>
      </c>
      <c r="L10" s="23" t="s">
        <v>125</v>
      </c>
      <c r="M10" s="24">
        <v>41311.590833333335</v>
      </c>
    </row>
    <row r="11" spans="1:13" x14ac:dyDescent="0.25">
      <c r="A11" s="23">
        <v>1113</v>
      </c>
      <c r="B11" s="23">
        <v>2</v>
      </c>
      <c r="C11" s="23" t="s">
        <v>130</v>
      </c>
      <c r="D11" s="23" t="s">
        <v>92</v>
      </c>
      <c r="E11" s="23" t="s">
        <v>121</v>
      </c>
      <c r="F11" s="23" t="s">
        <v>122</v>
      </c>
      <c r="G11" s="23" t="s">
        <v>100</v>
      </c>
      <c r="H11" s="23"/>
      <c r="I11" s="23" t="s">
        <v>36</v>
      </c>
      <c r="J11" s="23" t="s">
        <v>124</v>
      </c>
      <c r="K11" s="23">
        <v>100</v>
      </c>
      <c r="L11" s="23" t="s">
        <v>125</v>
      </c>
      <c r="M11" s="24">
        <v>41311.40828703704</v>
      </c>
    </row>
    <row r="12" spans="1:13" x14ac:dyDescent="0.25">
      <c r="A12" s="23">
        <v>1102</v>
      </c>
      <c r="B12" s="23">
        <v>3</v>
      </c>
      <c r="C12" s="23" t="s">
        <v>120</v>
      </c>
      <c r="D12" s="23" t="s">
        <v>54</v>
      </c>
      <c r="E12" s="23" t="s">
        <v>121</v>
      </c>
      <c r="F12" s="23" t="s">
        <v>122</v>
      </c>
      <c r="G12" s="23" t="s">
        <v>106</v>
      </c>
      <c r="H12" s="23"/>
      <c r="I12" s="23" t="s">
        <v>36</v>
      </c>
      <c r="J12" s="23" t="s">
        <v>124</v>
      </c>
      <c r="K12" s="23">
        <v>100</v>
      </c>
      <c r="L12" s="23" t="s">
        <v>125</v>
      </c>
      <c r="M12" s="24">
        <v>41310.912546296298</v>
      </c>
    </row>
    <row r="13" spans="1:13" x14ac:dyDescent="0.25">
      <c r="A13" s="23">
        <v>1099</v>
      </c>
      <c r="B13" s="23">
        <v>2</v>
      </c>
      <c r="C13" s="23" t="s">
        <v>130</v>
      </c>
      <c r="D13" s="23" t="s">
        <v>92</v>
      </c>
      <c r="E13" s="23" t="s">
        <v>121</v>
      </c>
      <c r="F13" s="23" t="s">
        <v>122</v>
      </c>
      <c r="G13" s="23" t="s">
        <v>113</v>
      </c>
      <c r="H13" s="23"/>
      <c r="I13" s="23" t="s">
        <v>36</v>
      </c>
      <c r="J13" s="23" t="s">
        <v>124</v>
      </c>
      <c r="K13" s="23">
        <v>50</v>
      </c>
      <c r="L13" s="23" t="s">
        <v>125</v>
      </c>
      <c r="M13" s="24">
        <v>41310.753900462965</v>
      </c>
    </row>
    <row r="14" spans="1:13" x14ac:dyDescent="0.25">
      <c r="A14" s="23">
        <v>1098</v>
      </c>
      <c r="B14" s="23">
        <v>1</v>
      </c>
      <c r="C14" s="23" t="s">
        <v>129</v>
      </c>
      <c r="D14" s="23" t="s">
        <v>21</v>
      </c>
      <c r="E14" s="23" t="s">
        <v>127</v>
      </c>
      <c r="F14" s="23" t="s">
        <v>122</v>
      </c>
      <c r="G14" s="23">
        <v>65520890</v>
      </c>
      <c r="H14" s="23"/>
      <c r="I14" s="23" t="s">
        <v>3</v>
      </c>
      <c r="J14" s="23" t="s">
        <v>124</v>
      </c>
      <c r="K14" s="23">
        <v>25</v>
      </c>
      <c r="L14" s="23" t="s">
        <v>125</v>
      </c>
      <c r="M14" s="24">
        <v>41310.528587962966</v>
      </c>
    </row>
    <row r="15" spans="1:13" x14ac:dyDescent="0.25">
      <c r="A15" s="23">
        <v>1096</v>
      </c>
      <c r="B15" s="23">
        <v>1</v>
      </c>
      <c r="C15" s="23" t="s">
        <v>131</v>
      </c>
      <c r="D15" s="23" t="s">
        <v>14</v>
      </c>
      <c r="E15" s="23" t="s">
        <v>127</v>
      </c>
      <c r="F15" s="23" t="s">
        <v>122</v>
      </c>
      <c r="G15" s="23">
        <v>65520185</v>
      </c>
      <c r="H15" s="23"/>
      <c r="I15" s="23" t="s">
        <v>3</v>
      </c>
      <c r="J15" s="23" t="s">
        <v>124</v>
      </c>
      <c r="K15" s="23">
        <v>250</v>
      </c>
      <c r="L15" s="23" t="s">
        <v>125</v>
      </c>
      <c r="M15" s="24">
        <v>41309.89335648148</v>
      </c>
    </row>
    <row r="16" spans="1:13" x14ac:dyDescent="0.25">
      <c r="A16" s="23">
        <v>1091</v>
      </c>
      <c r="B16" s="23">
        <v>1</v>
      </c>
      <c r="C16" s="23" t="s">
        <v>128</v>
      </c>
      <c r="D16" s="23" t="s">
        <v>6</v>
      </c>
      <c r="E16" s="23" t="s">
        <v>127</v>
      </c>
      <c r="F16" s="23" t="s">
        <v>122</v>
      </c>
      <c r="G16" s="23">
        <v>65519728</v>
      </c>
      <c r="H16" s="23"/>
      <c r="I16" s="23" t="s">
        <v>3</v>
      </c>
      <c r="J16" s="23" t="s">
        <v>124</v>
      </c>
      <c r="K16" s="23">
        <v>20</v>
      </c>
      <c r="L16" s="23" t="s">
        <v>125</v>
      </c>
      <c r="M16" s="24">
        <v>41309.743263888886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K1" sqref="K1:K6"/>
    </sheetView>
  </sheetViews>
  <sheetFormatPr defaultRowHeight="15" x14ac:dyDescent="0.25"/>
  <sheetData>
    <row r="1" spans="1:14" x14ac:dyDescent="0.25">
      <c r="A1" s="4" t="s">
        <v>128</v>
      </c>
      <c r="B1" s="7">
        <v>41309.743252314816</v>
      </c>
      <c r="C1" s="7">
        <v>41309.743252314816</v>
      </c>
      <c r="D1" s="4" t="s">
        <v>132</v>
      </c>
      <c r="E1" s="10"/>
      <c r="F1" s="4" t="s">
        <v>133</v>
      </c>
      <c r="G1" s="4" t="s">
        <v>134</v>
      </c>
      <c r="H1" s="10"/>
      <c r="I1" s="10"/>
      <c r="J1" s="10"/>
      <c r="K1" s="3">
        <v>20</v>
      </c>
      <c r="L1" s="3">
        <v>0</v>
      </c>
      <c r="M1" s="3">
        <v>0</v>
      </c>
      <c r="N1" s="3">
        <v>20</v>
      </c>
    </row>
    <row r="2" spans="1:14" x14ac:dyDescent="0.25">
      <c r="A2" s="4" t="s">
        <v>131</v>
      </c>
      <c r="B2" s="7">
        <v>41309.89335648148</v>
      </c>
      <c r="C2" s="7">
        <v>41309.89335648148</v>
      </c>
      <c r="D2" s="4" t="s">
        <v>132</v>
      </c>
      <c r="E2" s="10"/>
      <c r="F2" s="4" t="s">
        <v>135</v>
      </c>
      <c r="G2" s="4" t="s">
        <v>136</v>
      </c>
      <c r="H2" s="10"/>
      <c r="I2" s="10"/>
      <c r="J2" s="10"/>
      <c r="K2" s="3">
        <v>250</v>
      </c>
      <c r="L2" s="3">
        <v>0</v>
      </c>
      <c r="M2" s="3">
        <v>0</v>
      </c>
      <c r="N2" s="3">
        <v>250</v>
      </c>
    </row>
    <row r="3" spans="1:14" x14ac:dyDescent="0.25">
      <c r="A3" s="4" t="s">
        <v>129</v>
      </c>
      <c r="B3" s="7">
        <v>41310.52857638889</v>
      </c>
      <c r="C3" s="7">
        <v>41310.52857638889</v>
      </c>
      <c r="D3" s="4" t="s">
        <v>132</v>
      </c>
      <c r="E3" s="10"/>
      <c r="F3" s="4" t="s">
        <v>137</v>
      </c>
      <c r="G3" s="4" t="s">
        <v>138</v>
      </c>
      <c r="H3" s="10"/>
      <c r="I3" s="10"/>
      <c r="J3" s="10"/>
      <c r="K3" s="3">
        <v>25</v>
      </c>
      <c r="L3" s="3">
        <v>0</v>
      </c>
      <c r="M3" s="3">
        <v>0</v>
      </c>
      <c r="N3" s="3">
        <v>25</v>
      </c>
    </row>
    <row r="4" spans="1:14" x14ac:dyDescent="0.25">
      <c r="A4" s="4" t="s">
        <v>129</v>
      </c>
      <c r="B4" s="7">
        <v>41313.117442129631</v>
      </c>
      <c r="C4" s="7">
        <v>41313.117442129631</v>
      </c>
      <c r="D4" s="4" t="s">
        <v>132</v>
      </c>
      <c r="E4" s="10"/>
      <c r="F4" s="4" t="s">
        <v>139</v>
      </c>
      <c r="G4" s="4" t="s">
        <v>140</v>
      </c>
      <c r="H4" s="10"/>
      <c r="I4" s="10"/>
      <c r="J4" s="10"/>
      <c r="K4" s="3">
        <v>20</v>
      </c>
      <c r="L4" s="3">
        <v>0</v>
      </c>
      <c r="M4" s="3">
        <v>0</v>
      </c>
      <c r="N4" s="3">
        <v>20</v>
      </c>
    </row>
    <row r="5" spans="1:14" x14ac:dyDescent="0.25">
      <c r="A5" s="4" t="s">
        <v>128</v>
      </c>
      <c r="B5" s="7">
        <v>41313.670520833337</v>
      </c>
      <c r="C5" s="7">
        <v>41313.670520833337</v>
      </c>
      <c r="D5" s="4" t="s">
        <v>132</v>
      </c>
      <c r="E5" s="10"/>
      <c r="F5" s="4" t="s">
        <v>141</v>
      </c>
      <c r="G5" s="4" t="s">
        <v>142</v>
      </c>
      <c r="H5" s="10"/>
      <c r="I5" s="10"/>
      <c r="J5" s="10"/>
      <c r="K5" s="3">
        <v>20</v>
      </c>
      <c r="L5" s="3">
        <v>0</v>
      </c>
      <c r="M5" s="3">
        <v>0</v>
      </c>
      <c r="N5" s="3">
        <v>20</v>
      </c>
    </row>
    <row r="6" spans="1:14" x14ac:dyDescent="0.25">
      <c r="A6" s="4" t="s">
        <v>126</v>
      </c>
      <c r="B6" s="7">
        <v>41315.572175925925</v>
      </c>
      <c r="C6" s="7">
        <v>41315.572175925925</v>
      </c>
      <c r="D6" s="4" t="s">
        <v>132</v>
      </c>
      <c r="E6" s="10"/>
      <c r="F6" s="4" t="s">
        <v>143</v>
      </c>
      <c r="G6" s="4" t="s">
        <v>144</v>
      </c>
      <c r="H6" s="10"/>
      <c r="I6" s="10"/>
      <c r="J6" s="10"/>
      <c r="K6" s="3">
        <v>30.29</v>
      </c>
      <c r="L6" s="3">
        <v>0</v>
      </c>
      <c r="M6" s="3">
        <v>0</v>
      </c>
      <c r="N6" s="3">
        <v>30.29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K1" sqref="K1:K10"/>
    </sheetView>
  </sheetViews>
  <sheetFormatPr defaultRowHeight="15" x14ac:dyDescent="0.25"/>
  <sheetData>
    <row r="1" spans="1:14" x14ac:dyDescent="0.25">
      <c r="A1" s="12" t="s">
        <v>130</v>
      </c>
      <c r="B1" s="19">
        <v>41310.754027777781</v>
      </c>
      <c r="C1" s="19">
        <v>41310.754027777781</v>
      </c>
      <c r="D1" s="12" t="s">
        <v>145</v>
      </c>
      <c r="E1" s="2"/>
      <c r="F1" s="12" t="s">
        <v>146</v>
      </c>
      <c r="G1" s="12" t="s">
        <v>147</v>
      </c>
      <c r="H1" s="2"/>
      <c r="I1" s="2"/>
      <c r="J1" s="2"/>
      <c r="K1" s="16">
        <v>50</v>
      </c>
      <c r="L1" s="16">
        <v>0</v>
      </c>
      <c r="M1" s="16">
        <v>0</v>
      </c>
      <c r="N1" s="16">
        <v>50</v>
      </c>
    </row>
    <row r="2" spans="1:14" x14ac:dyDescent="0.25">
      <c r="A2" s="12" t="s">
        <v>120</v>
      </c>
      <c r="B2" s="19">
        <v>41310.912638888891</v>
      </c>
      <c r="C2" s="19">
        <v>41310.912638888891</v>
      </c>
      <c r="D2" s="12" t="s">
        <v>145</v>
      </c>
      <c r="E2" s="2"/>
      <c r="F2" s="12" t="s">
        <v>148</v>
      </c>
      <c r="G2" s="12" t="s">
        <v>149</v>
      </c>
      <c r="H2" s="2"/>
      <c r="I2" s="2"/>
      <c r="J2" s="2"/>
      <c r="K2" s="16">
        <v>100</v>
      </c>
      <c r="L2" s="16">
        <v>0</v>
      </c>
      <c r="M2" s="16">
        <v>0</v>
      </c>
      <c r="N2" s="16">
        <v>100</v>
      </c>
    </row>
    <row r="3" spans="1:14" x14ac:dyDescent="0.25">
      <c r="A3" s="12" t="s">
        <v>130</v>
      </c>
      <c r="B3" s="19">
        <v>41311.408391203702</v>
      </c>
      <c r="C3" s="19">
        <v>41311.408391203702</v>
      </c>
      <c r="D3" s="12" t="s">
        <v>145</v>
      </c>
      <c r="E3" s="2"/>
      <c r="F3" s="12" t="s">
        <v>150</v>
      </c>
      <c r="G3" s="12" t="s">
        <v>151</v>
      </c>
      <c r="H3" s="2"/>
      <c r="I3" s="2"/>
      <c r="J3" s="2"/>
      <c r="K3" s="16">
        <v>100</v>
      </c>
      <c r="L3" s="16">
        <v>0</v>
      </c>
      <c r="M3" s="16">
        <v>0</v>
      </c>
      <c r="N3" s="16">
        <v>100</v>
      </c>
    </row>
    <row r="4" spans="1:14" x14ac:dyDescent="0.25">
      <c r="A4" s="12" t="s">
        <v>130</v>
      </c>
      <c r="B4" s="19">
        <v>41311.590960648151</v>
      </c>
      <c r="C4" s="19">
        <v>41311.590960648151</v>
      </c>
      <c r="D4" s="12" t="s">
        <v>145</v>
      </c>
      <c r="E4" s="2"/>
      <c r="F4" s="12" t="s">
        <v>152</v>
      </c>
      <c r="G4" s="12" t="s">
        <v>153</v>
      </c>
      <c r="H4" s="2"/>
      <c r="I4" s="2"/>
      <c r="J4" s="2"/>
      <c r="K4" s="16">
        <v>50</v>
      </c>
      <c r="L4" s="16">
        <v>0</v>
      </c>
      <c r="M4" s="16">
        <v>0</v>
      </c>
      <c r="N4" s="16">
        <v>50</v>
      </c>
    </row>
    <row r="5" spans="1:14" x14ac:dyDescent="0.25">
      <c r="A5" s="12" t="s">
        <v>130</v>
      </c>
      <c r="B5" s="19">
        <v>41311.61209490741</v>
      </c>
      <c r="C5" s="19">
        <v>41311.61209490741</v>
      </c>
      <c r="D5" s="12" t="s">
        <v>145</v>
      </c>
      <c r="E5" s="2"/>
      <c r="F5" s="12" t="s">
        <v>154</v>
      </c>
      <c r="G5" s="12" t="s">
        <v>155</v>
      </c>
      <c r="H5" s="2"/>
      <c r="I5" s="2"/>
      <c r="J5" s="2"/>
      <c r="K5" s="16">
        <v>100</v>
      </c>
      <c r="L5" s="16">
        <v>0</v>
      </c>
      <c r="M5" s="16">
        <v>0</v>
      </c>
      <c r="N5" s="16">
        <v>100</v>
      </c>
    </row>
    <row r="6" spans="1:14" x14ac:dyDescent="0.25">
      <c r="A6" s="12" t="s">
        <v>120</v>
      </c>
      <c r="B6" s="19">
        <v>41311.750462962962</v>
      </c>
      <c r="C6" s="19">
        <v>41311.750462962962</v>
      </c>
      <c r="D6" s="12" t="s">
        <v>145</v>
      </c>
      <c r="E6" s="2"/>
      <c r="F6" s="12" t="s">
        <v>156</v>
      </c>
      <c r="G6" s="12" t="s">
        <v>157</v>
      </c>
      <c r="H6" s="2"/>
      <c r="I6" s="2"/>
      <c r="J6" s="2"/>
      <c r="K6" s="16">
        <v>50</v>
      </c>
      <c r="L6" s="16">
        <v>0</v>
      </c>
      <c r="M6" s="16">
        <v>0</v>
      </c>
      <c r="N6" s="16">
        <v>50</v>
      </c>
    </row>
    <row r="7" spans="1:14" x14ac:dyDescent="0.25">
      <c r="A7" s="12" t="s">
        <v>120</v>
      </c>
      <c r="B7" s="19">
        <v>41312.196226851855</v>
      </c>
      <c r="C7" s="19">
        <v>41312.196226851855</v>
      </c>
      <c r="D7" s="12" t="s">
        <v>145</v>
      </c>
      <c r="E7" s="2"/>
      <c r="F7" s="12" t="s">
        <v>158</v>
      </c>
      <c r="G7" s="12" t="s">
        <v>159</v>
      </c>
      <c r="H7" s="2"/>
      <c r="I7" s="2"/>
      <c r="J7" s="2"/>
      <c r="K7" s="16">
        <v>50</v>
      </c>
      <c r="L7" s="16">
        <v>0</v>
      </c>
      <c r="M7" s="16">
        <v>0</v>
      </c>
      <c r="N7" s="16">
        <v>50</v>
      </c>
    </row>
    <row r="8" spans="1:14" x14ac:dyDescent="0.25">
      <c r="A8" s="12" t="s">
        <v>120</v>
      </c>
      <c r="B8" s="19">
        <v>41312.614907407406</v>
      </c>
      <c r="C8" s="19">
        <v>41312.614907407406</v>
      </c>
      <c r="D8" s="12" t="s">
        <v>145</v>
      </c>
      <c r="E8" s="2"/>
      <c r="F8" s="12" t="s">
        <v>160</v>
      </c>
      <c r="G8" s="12" t="s">
        <v>161</v>
      </c>
      <c r="H8" s="2"/>
      <c r="I8" s="2"/>
      <c r="J8" s="2"/>
      <c r="K8" s="16">
        <v>50</v>
      </c>
      <c r="L8" s="16">
        <v>0</v>
      </c>
      <c r="M8" s="16">
        <v>0</v>
      </c>
      <c r="N8" s="16">
        <v>50</v>
      </c>
    </row>
    <row r="9" spans="1:14" x14ac:dyDescent="0.25">
      <c r="A9" s="12" t="s">
        <v>120</v>
      </c>
      <c r="B9" s="19">
        <v>41314.999699074076</v>
      </c>
      <c r="C9" s="19">
        <v>41314.999699074076</v>
      </c>
      <c r="D9" s="12" t="s">
        <v>145</v>
      </c>
      <c r="E9" s="2"/>
      <c r="F9" s="12" t="s">
        <v>162</v>
      </c>
      <c r="G9" s="12" t="s">
        <v>163</v>
      </c>
      <c r="H9" s="2"/>
      <c r="I9" s="2"/>
      <c r="J9" s="2"/>
      <c r="K9" s="16">
        <v>50</v>
      </c>
      <c r="L9" s="16">
        <v>0</v>
      </c>
      <c r="M9" s="16">
        <v>0</v>
      </c>
      <c r="N9" s="16">
        <v>50</v>
      </c>
    </row>
    <row r="10" spans="1:14" x14ac:dyDescent="0.25">
      <c r="A10" s="12" t="s">
        <v>120</v>
      </c>
      <c r="B10" s="19">
        <v>41315.826689814814</v>
      </c>
      <c r="C10" s="19">
        <v>41315.826689814814</v>
      </c>
      <c r="D10" s="12" t="s">
        <v>145</v>
      </c>
      <c r="E10" s="2"/>
      <c r="F10" s="12" t="s">
        <v>164</v>
      </c>
      <c r="G10" s="12" t="s">
        <v>165</v>
      </c>
      <c r="H10" s="2"/>
      <c r="I10" s="2"/>
      <c r="J10" s="2"/>
      <c r="K10" s="16">
        <v>50</v>
      </c>
      <c r="L10" s="16">
        <v>0</v>
      </c>
      <c r="M10" s="16">
        <v>0</v>
      </c>
      <c r="N10" s="16">
        <v>50</v>
      </c>
    </row>
    <row r="11" spans="1:14" x14ac:dyDescent="0.25">
      <c r="K11" s="6">
        <f>SUM(K1:K10)</f>
        <v>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6"/>
  <sheetViews>
    <sheetView tabSelected="1" workbookViewId="0">
      <selection activeCell="B15" sqref="B15"/>
    </sheetView>
  </sheetViews>
  <sheetFormatPr defaultRowHeight="15" x14ac:dyDescent="0.25"/>
  <sheetData>
    <row r="2" spans="1:3" x14ac:dyDescent="0.25">
      <c r="A2" t="s">
        <v>127</v>
      </c>
      <c r="B2">
        <f>SUM(DNP!N2:N7)</f>
        <v>365.29</v>
      </c>
    </row>
    <row r="3" spans="1:3" x14ac:dyDescent="0.25">
      <c r="A3" t="s">
        <v>121</v>
      </c>
      <c r="B3">
        <f>SUM('QP1'!F1:F10)</f>
        <v>649.58000000000004</v>
      </c>
    </row>
    <row r="4" spans="1:3" x14ac:dyDescent="0.25">
      <c r="A4" t="s">
        <v>171</v>
      </c>
      <c r="B4">
        <v>0</v>
      </c>
    </row>
    <row r="5" spans="1:3" x14ac:dyDescent="0.25">
      <c r="B5" s="14">
        <f>SUM(B2:B4)</f>
        <v>1014.8700000000001</v>
      </c>
    </row>
    <row r="8" spans="1:3" x14ac:dyDescent="0.25">
      <c r="A8" t="s">
        <v>166</v>
      </c>
      <c r="B8" s="14">
        <f>SUM(DF!K1:K16)</f>
        <v>1015.29</v>
      </c>
    </row>
    <row r="12" spans="1:3" x14ac:dyDescent="0.25">
      <c r="A12" t="s">
        <v>167</v>
      </c>
      <c r="B12" s="6">
        <f>SUM(DGSDNP!K1:K6)</f>
        <v>365.29</v>
      </c>
    </row>
    <row r="13" spans="1:3" x14ac:dyDescent="0.25">
      <c r="A13" t="s">
        <v>168</v>
      </c>
      <c r="B13" s="6">
        <f>SUM(DGSQP1!K1:K10)</f>
        <v>650</v>
      </c>
    </row>
    <row r="14" spans="1:3" x14ac:dyDescent="0.25">
      <c r="A14" t="s">
        <v>170</v>
      </c>
      <c r="B14" s="6">
        <v>0</v>
      </c>
    </row>
    <row r="15" spans="1:3" x14ac:dyDescent="0.25">
      <c r="B15" s="28">
        <f>SUM(B12:B13)</f>
        <v>1015.29</v>
      </c>
    </row>
    <row r="16" spans="1:3" x14ac:dyDescent="0.25">
      <c r="A16" s="23"/>
      <c r="B16" s="23"/>
      <c r="C16" s="23"/>
    </row>
    <row r="17" spans="1:4" x14ac:dyDescent="0.25">
      <c r="A17" s="23"/>
      <c r="B17" s="23"/>
      <c r="C17" s="23"/>
    </row>
    <row r="18" spans="1:4" x14ac:dyDescent="0.25">
      <c r="A18" s="23"/>
      <c r="B18" s="23"/>
      <c r="C18" s="23"/>
      <c r="D18" s="23"/>
    </row>
    <row r="19" spans="1:4" x14ac:dyDescent="0.25">
      <c r="A19" s="14">
        <v>1091</v>
      </c>
      <c r="B19" s="14" t="s">
        <v>127</v>
      </c>
      <c r="C19" s="14">
        <v>20</v>
      </c>
    </row>
    <row r="20" spans="1:4" x14ac:dyDescent="0.25">
      <c r="A20" s="11">
        <v>1091</v>
      </c>
      <c r="B20" s="11" t="s">
        <v>166</v>
      </c>
      <c r="C20" s="11">
        <v>20</v>
      </c>
    </row>
    <row r="21" spans="1:4" x14ac:dyDescent="0.25">
      <c r="A21" s="18">
        <v>1091</v>
      </c>
      <c r="B21" s="15" t="s">
        <v>167</v>
      </c>
      <c r="C21" s="13">
        <v>20</v>
      </c>
    </row>
    <row r="22" spans="1:4" x14ac:dyDescent="0.25">
      <c r="A22" s="14">
        <v>1096</v>
      </c>
      <c r="B22" s="14" t="s">
        <v>127</v>
      </c>
      <c r="C22" s="14">
        <v>250</v>
      </c>
    </row>
    <row r="23" spans="1:4" x14ac:dyDescent="0.25">
      <c r="A23" s="11">
        <v>1096</v>
      </c>
      <c r="B23" s="11" t="s">
        <v>166</v>
      </c>
      <c r="C23" s="11">
        <v>250</v>
      </c>
    </row>
    <row r="24" spans="1:4" x14ac:dyDescent="0.25">
      <c r="A24" s="18">
        <v>1096</v>
      </c>
      <c r="B24" s="15" t="s">
        <v>167</v>
      </c>
      <c r="C24" s="13">
        <v>250</v>
      </c>
    </row>
    <row r="25" spans="1:4" x14ac:dyDescent="0.25">
      <c r="A25" s="14">
        <v>1098</v>
      </c>
      <c r="B25" s="14" t="s">
        <v>127</v>
      </c>
      <c r="C25" s="14">
        <v>25</v>
      </c>
    </row>
    <row r="26" spans="1:4" x14ac:dyDescent="0.25">
      <c r="A26" s="11">
        <v>1098</v>
      </c>
      <c r="B26" s="11" t="s">
        <v>166</v>
      </c>
      <c r="C26" s="11">
        <v>25</v>
      </c>
    </row>
    <row r="27" spans="1:4" x14ac:dyDescent="0.25">
      <c r="A27" s="18">
        <v>1098</v>
      </c>
      <c r="B27" s="15" t="s">
        <v>167</v>
      </c>
      <c r="C27" s="13">
        <v>25</v>
      </c>
    </row>
    <row r="28" spans="1:4" x14ac:dyDescent="0.25">
      <c r="A28" s="9" t="s">
        <v>114</v>
      </c>
      <c r="B28" s="17" t="s">
        <v>121</v>
      </c>
      <c r="C28" s="22">
        <v>49.99</v>
      </c>
    </row>
    <row r="29" spans="1:4" x14ac:dyDescent="0.25">
      <c r="A29" s="11">
        <v>1099</v>
      </c>
      <c r="B29" s="11" t="s">
        <v>166</v>
      </c>
      <c r="C29" s="11">
        <v>50</v>
      </c>
    </row>
    <row r="30" spans="1:4" x14ac:dyDescent="0.25">
      <c r="A30" s="25">
        <v>1099</v>
      </c>
      <c r="B30" s="26" t="s">
        <v>168</v>
      </c>
      <c r="C30" s="27">
        <v>50</v>
      </c>
    </row>
    <row r="31" spans="1:4" x14ac:dyDescent="0.25">
      <c r="A31" s="9" t="s">
        <v>107</v>
      </c>
      <c r="B31" s="17" t="s">
        <v>121</v>
      </c>
      <c r="C31" s="22">
        <v>99.99</v>
      </c>
    </row>
    <row r="32" spans="1:4" x14ac:dyDescent="0.25">
      <c r="A32" s="11">
        <v>1102</v>
      </c>
      <c r="B32" s="11" t="s">
        <v>166</v>
      </c>
      <c r="C32" s="11">
        <v>100</v>
      </c>
    </row>
    <row r="33" spans="1:3" x14ac:dyDescent="0.25">
      <c r="A33" s="25">
        <v>1102</v>
      </c>
      <c r="B33" s="26" t="s">
        <v>168</v>
      </c>
      <c r="C33" s="27">
        <v>100</v>
      </c>
    </row>
    <row r="34" spans="1:3" x14ac:dyDescent="0.25">
      <c r="A34" s="9" t="s">
        <v>101</v>
      </c>
      <c r="B34" s="17" t="s">
        <v>121</v>
      </c>
      <c r="C34" s="22">
        <v>99.97</v>
      </c>
    </row>
    <row r="35" spans="1:3" x14ac:dyDescent="0.25">
      <c r="A35" s="11">
        <v>1113</v>
      </c>
      <c r="B35" s="11" t="s">
        <v>166</v>
      </c>
      <c r="C35" s="11">
        <v>100</v>
      </c>
    </row>
    <row r="36" spans="1:3" x14ac:dyDescent="0.25">
      <c r="A36" s="25">
        <v>1113</v>
      </c>
      <c r="B36" s="26" t="s">
        <v>168</v>
      </c>
      <c r="C36" s="27">
        <v>100</v>
      </c>
    </row>
    <row r="37" spans="1:3" x14ac:dyDescent="0.25">
      <c r="A37" s="9" t="s">
        <v>95</v>
      </c>
      <c r="B37" s="17" t="s">
        <v>121</v>
      </c>
      <c r="C37" s="22">
        <v>49.97</v>
      </c>
    </row>
    <row r="38" spans="1:3" x14ac:dyDescent="0.25">
      <c r="A38" s="11">
        <v>1116</v>
      </c>
      <c r="B38" s="11" t="s">
        <v>166</v>
      </c>
      <c r="C38" s="11">
        <v>50</v>
      </c>
    </row>
    <row r="39" spans="1:3" x14ac:dyDescent="0.25">
      <c r="A39" s="25">
        <v>1116</v>
      </c>
      <c r="B39" s="26" t="s">
        <v>168</v>
      </c>
      <c r="C39" s="27">
        <v>50</v>
      </c>
    </row>
    <row r="40" spans="1:3" x14ac:dyDescent="0.25">
      <c r="A40" s="9" t="s">
        <v>78</v>
      </c>
      <c r="B40" s="17" t="s">
        <v>121</v>
      </c>
      <c r="C40" s="22">
        <v>99.98</v>
      </c>
    </row>
    <row r="41" spans="1:3" x14ac:dyDescent="0.25">
      <c r="A41" s="11">
        <v>1117</v>
      </c>
      <c r="B41" s="11" t="s">
        <v>166</v>
      </c>
      <c r="C41" s="11">
        <v>100</v>
      </c>
    </row>
    <row r="42" spans="1:3" x14ac:dyDescent="0.25">
      <c r="A42" s="25">
        <v>1117</v>
      </c>
      <c r="B42" s="26" t="s">
        <v>168</v>
      </c>
      <c r="C42" s="27">
        <v>100</v>
      </c>
    </row>
    <row r="43" spans="1:3" x14ac:dyDescent="0.25">
      <c r="A43" s="9" t="s">
        <v>71</v>
      </c>
      <c r="B43" s="17" t="s">
        <v>121</v>
      </c>
      <c r="C43" s="22">
        <v>49.95</v>
      </c>
    </row>
    <row r="44" spans="1:3" x14ac:dyDescent="0.25">
      <c r="A44" s="11">
        <v>1118</v>
      </c>
      <c r="B44" s="11" t="s">
        <v>166</v>
      </c>
      <c r="C44" s="11">
        <v>50</v>
      </c>
    </row>
    <row r="45" spans="1:3" x14ac:dyDescent="0.25">
      <c r="A45" s="25">
        <v>1118</v>
      </c>
      <c r="B45" s="26" t="s">
        <v>168</v>
      </c>
      <c r="C45" s="27">
        <v>50</v>
      </c>
    </row>
    <row r="46" spans="1:3" x14ac:dyDescent="0.25">
      <c r="A46" s="9" t="s">
        <v>65</v>
      </c>
      <c r="B46" s="17" t="s">
        <v>121</v>
      </c>
      <c r="C46" s="22">
        <v>49.92</v>
      </c>
    </row>
    <row r="47" spans="1:3" x14ac:dyDescent="0.25">
      <c r="A47" s="11">
        <v>1125</v>
      </c>
      <c r="B47" s="11" t="s">
        <v>166</v>
      </c>
      <c r="C47" s="11">
        <v>50</v>
      </c>
    </row>
    <row r="48" spans="1:3" x14ac:dyDescent="0.25">
      <c r="A48" s="25">
        <v>1125</v>
      </c>
      <c r="B48" s="26" t="s">
        <v>168</v>
      </c>
      <c r="C48" s="27">
        <v>50</v>
      </c>
    </row>
    <row r="49" spans="1:4" x14ac:dyDescent="0.25">
      <c r="A49" s="9" t="s">
        <v>58</v>
      </c>
      <c r="B49" s="17" t="s">
        <v>121</v>
      </c>
      <c r="C49" s="22">
        <v>49.94</v>
      </c>
    </row>
    <row r="50" spans="1:4" x14ac:dyDescent="0.25">
      <c r="A50" s="11">
        <v>1126</v>
      </c>
      <c r="B50" s="11" t="s">
        <v>166</v>
      </c>
      <c r="C50" s="11">
        <v>50</v>
      </c>
    </row>
    <row r="51" spans="1:4" x14ac:dyDescent="0.25">
      <c r="A51" s="25">
        <v>1126</v>
      </c>
      <c r="B51" s="26" t="s">
        <v>168</v>
      </c>
      <c r="C51" s="27">
        <v>50</v>
      </c>
    </row>
    <row r="52" spans="1:4" x14ac:dyDescent="0.25">
      <c r="A52" s="14">
        <v>1162</v>
      </c>
      <c r="B52" s="14" t="s">
        <v>127</v>
      </c>
      <c r="C52" s="14">
        <v>20</v>
      </c>
    </row>
    <row r="53" spans="1:4" x14ac:dyDescent="0.25">
      <c r="A53" s="11">
        <v>1162</v>
      </c>
      <c r="B53" s="11" t="s">
        <v>166</v>
      </c>
      <c r="C53" s="11">
        <v>20</v>
      </c>
    </row>
    <row r="54" spans="1:4" x14ac:dyDescent="0.25">
      <c r="A54" s="18">
        <v>1162</v>
      </c>
      <c r="B54" s="15" t="s">
        <v>167</v>
      </c>
      <c r="C54" s="13">
        <v>20</v>
      </c>
    </row>
    <row r="55" spans="1:4" x14ac:dyDescent="0.25">
      <c r="A55" s="14">
        <v>1170</v>
      </c>
      <c r="B55" s="14" t="s">
        <v>127</v>
      </c>
      <c r="C55" s="14">
        <v>20</v>
      </c>
    </row>
    <row r="56" spans="1:4" x14ac:dyDescent="0.25">
      <c r="A56" s="11">
        <v>1170</v>
      </c>
      <c r="B56" s="11" t="s">
        <v>166</v>
      </c>
      <c r="C56" s="11">
        <v>20</v>
      </c>
    </row>
    <row r="57" spans="1:4" x14ac:dyDescent="0.25">
      <c r="A57" s="18">
        <v>1170</v>
      </c>
      <c r="B57" s="15" t="s">
        <v>167</v>
      </c>
      <c r="C57" s="13">
        <v>20</v>
      </c>
    </row>
    <row r="58" spans="1:4" x14ac:dyDescent="0.25">
      <c r="A58" s="9" t="s">
        <v>34</v>
      </c>
      <c r="B58" s="17" t="s">
        <v>121</v>
      </c>
      <c r="C58" s="22">
        <v>49.91</v>
      </c>
    </row>
    <row r="59" spans="1:4" x14ac:dyDescent="0.25">
      <c r="A59" s="11">
        <v>1185</v>
      </c>
      <c r="B59" s="11" t="s">
        <v>166</v>
      </c>
      <c r="C59" s="11">
        <v>50</v>
      </c>
    </row>
    <row r="60" spans="1:4" x14ac:dyDescent="0.25">
      <c r="A60" s="25">
        <v>1185</v>
      </c>
      <c r="B60" s="26" t="s">
        <v>168</v>
      </c>
      <c r="C60" s="27">
        <v>50</v>
      </c>
    </row>
    <row r="61" spans="1:4" x14ac:dyDescent="0.25">
      <c r="A61" s="14">
        <v>1187</v>
      </c>
      <c r="B61" s="14" t="s">
        <v>127</v>
      </c>
      <c r="C61" s="14">
        <v>30.29</v>
      </c>
    </row>
    <row r="62" spans="1:4" x14ac:dyDescent="0.25">
      <c r="A62" s="11">
        <v>1187</v>
      </c>
      <c r="B62" s="11" t="s">
        <v>166</v>
      </c>
      <c r="C62" s="11">
        <v>30.29</v>
      </c>
    </row>
    <row r="63" spans="1:4" x14ac:dyDescent="0.25">
      <c r="A63" s="18">
        <v>1187</v>
      </c>
      <c r="B63" s="15" t="s">
        <v>167</v>
      </c>
      <c r="C63" s="13">
        <v>30.29</v>
      </c>
    </row>
    <row r="64" spans="1:4" x14ac:dyDescent="0.25">
      <c r="A64" s="11">
        <v>1188</v>
      </c>
      <c r="B64" s="11" t="s">
        <v>166</v>
      </c>
      <c r="C64" s="11">
        <v>50</v>
      </c>
      <c r="D64" t="s">
        <v>169</v>
      </c>
    </row>
    <row r="65" spans="1:3" x14ac:dyDescent="0.25">
      <c r="A65" s="25">
        <v>1188</v>
      </c>
      <c r="B65" s="26" t="s">
        <v>168</v>
      </c>
      <c r="C65" s="27">
        <v>50</v>
      </c>
    </row>
    <row r="66" spans="1:3" x14ac:dyDescent="0.25">
      <c r="A66">
        <v>1188</v>
      </c>
    </row>
  </sheetData>
  <sortState ref="A16:C65">
    <sortCondition ref="A16:A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DNP</vt:lpstr>
      <vt:lpstr>QP</vt:lpstr>
      <vt:lpstr>QP1</vt:lpstr>
      <vt:lpstr>DF</vt:lpstr>
      <vt:lpstr>DGSDNP</vt:lpstr>
      <vt:lpstr>DGSQP</vt:lpstr>
      <vt:lpstr>DGSQP1</vt:lpstr>
      <vt:lpstr>RECON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2013-02-12T21:01:41Z</dcterms:created>
  <dcterms:modified xsi:type="dcterms:W3CDTF">2013-02-13T00:44:24Z</dcterms:modified>
</cp:coreProperties>
</file>