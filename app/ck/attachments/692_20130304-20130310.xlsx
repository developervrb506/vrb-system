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65" windowWidth="22995" windowHeight="9915" activeTab="7"/>
  </bookViews>
  <sheets>
    <sheet name="DNP" sheetId="1" r:id="rId1"/>
    <sheet name="QP" sheetId="2" r:id="rId2"/>
    <sheet name="QP1" sheetId="3" r:id="rId3"/>
    <sheet name="DF" sheetId="4" r:id="rId4"/>
    <sheet name="DGSDNP" sheetId="5" r:id="rId5"/>
    <sheet name="DGSQP" sheetId="6" r:id="rId6"/>
    <sheet name="DGSQP1" sheetId="7" r:id="rId7"/>
    <sheet name="RECON" sheetId="8" r:id="rId8"/>
  </sheets>
  <calcPr calcId="145621"/>
</workbook>
</file>

<file path=xl/calcChain.xml><?xml version="1.0" encoding="utf-8"?>
<calcChain xmlns="http://schemas.openxmlformats.org/spreadsheetml/2006/main">
  <c r="B14" i="8" l="1"/>
  <c r="B16" i="8" s="1"/>
  <c r="B13" i="8"/>
  <c r="B12" i="8"/>
  <c r="B8" i="8"/>
  <c r="B4" i="8"/>
  <c r="B3" i="8"/>
  <c r="B2" i="8"/>
  <c r="B6" i="8" s="1"/>
</calcChain>
</file>

<file path=xl/sharedStrings.xml><?xml version="1.0" encoding="utf-8"?>
<sst xmlns="http://schemas.openxmlformats.org/spreadsheetml/2006/main" count="914" uniqueCount="306">
  <si>
    <t>TraceID</t>
  </si>
  <si>
    <t>Profile</t>
  </si>
  <si>
    <t>PIN</t>
  </si>
  <si>
    <t>CustName</t>
  </si>
  <si>
    <t>PP</t>
  </si>
  <si>
    <t>Approved</t>
  </si>
  <si>
    <t>TransactionID</t>
  </si>
  <si>
    <t>ErrorCode</t>
  </si>
  <si>
    <t>ErrorCodeText</t>
  </si>
  <si>
    <t>Type</t>
  </si>
  <si>
    <t>Amt</t>
  </si>
  <si>
    <t>CreatedBy</t>
  </si>
  <si>
    <t>CreatedDate</t>
  </si>
  <si>
    <t>SBOMG8438</t>
  </si>
  <si>
    <t>Matthew Guy</t>
  </si>
  <si>
    <t>QP1</t>
  </si>
  <si>
    <t>Y</t>
  </si>
  <si>
    <t>9b0e01b1-80c7-42ef-b6c6-3e62b223f0b7</t>
  </si>
  <si>
    <t>APPROVED</t>
  </si>
  <si>
    <t>CR</t>
  </si>
  <si>
    <t>INTERNET</t>
  </si>
  <si>
    <t>QP</t>
  </si>
  <si>
    <t>f569c5aa-97ad-4d68-b2d7-2469493018cb</t>
  </si>
  <si>
    <t>SBO6046</t>
  </si>
  <si>
    <t>Shaun Castro</t>
  </si>
  <si>
    <t>DNP</t>
  </si>
  <si>
    <t>SBO7008</t>
  </si>
  <si>
    <t>Stefan Rakonjac</t>
  </si>
  <si>
    <t>SBO5727</t>
  </si>
  <si>
    <t>Denise Sisk</t>
  </si>
  <si>
    <t>SBO7186</t>
  </si>
  <si>
    <t>Robert Holmes</t>
  </si>
  <si>
    <t>SBO7367</t>
  </si>
  <si>
    <t>Robert Arnold</t>
  </si>
  <si>
    <t>SBO5299</t>
  </si>
  <si>
    <t>Christopher Nevels</t>
  </si>
  <si>
    <t>203d0774-e423-4c9d-ab6f-833b02390fc5</t>
  </si>
  <si>
    <t>SBO6769</t>
  </si>
  <si>
    <t>Dion Martin</t>
  </si>
  <si>
    <t>OWI1040</t>
  </si>
  <si>
    <t>Kevin Kabara</t>
  </si>
  <si>
    <t>OWI1051</t>
  </si>
  <si>
    <t>Fanny Solano</t>
  </si>
  <si>
    <t>SBO7309</t>
  </si>
  <si>
    <t>Kevin Schaffer</t>
  </si>
  <si>
    <t>SBO7260</t>
  </si>
  <si>
    <t>Toni Modrusan</t>
  </si>
  <si>
    <t>1241a54c-4dfc-418b-ac10-2fb27967c2e7</t>
  </si>
  <si>
    <t>SBO6111</t>
  </si>
  <si>
    <t>Jeffrey Rudel</t>
  </si>
  <si>
    <t>SBO7052</t>
  </si>
  <si>
    <t>Elmer Miller</t>
  </si>
  <si>
    <t>SBO7354</t>
  </si>
  <si>
    <t>John Pitanis</t>
  </si>
  <si>
    <t>OWI1045</t>
  </si>
  <si>
    <t>Steven Rodier</t>
  </si>
  <si>
    <t>SBO6685</t>
  </si>
  <si>
    <t>Bryan Garris</t>
  </si>
  <si>
    <t>SBO6998</t>
  </si>
  <si>
    <t>Brantley Lashley</t>
  </si>
  <si>
    <t>SBO6182</t>
  </si>
  <si>
    <t>Matthew Kearney</t>
  </si>
  <si>
    <t>SBO QP1</t>
  </si>
  <si>
    <t>QP1-1735</t>
  </si>
  <si>
    <t>QP1-1735 Reup VISA</t>
  </si>
  <si>
    <t>QP1-1779</t>
  </si>
  <si>
    <t>QP1-1779 Reup VISA</t>
  </si>
  <si>
    <t>QP1-1798</t>
  </si>
  <si>
    <t>QP1-1798 Reup VISA</t>
  </si>
  <si>
    <t>SBO QP</t>
  </si>
  <si>
    <t>QP-1797</t>
  </si>
  <si>
    <t>QP-1797 Reup VISA</t>
  </si>
  <si>
    <t>SBO DNP</t>
  </si>
  <si>
    <t>DNP-1658</t>
  </si>
  <si>
    <t>DNP-1658 Reup VISA</t>
  </si>
  <si>
    <t>DNP-1662</t>
  </si>
  <si>
    <t>DNP-1662 Reup VISA</t>
  </si>
  <si>
    <t>DNP-1685</t>
  </si>
  <si>
    <t>DNP-1685 Reup VISA</t>
  </si>
  <si>
    <t>DNP-1687</t>
  </si>
  <si>
    <t>DNP-1687 Reup VISA</t>
  </si>
  <si>
    <t>DNP-1698</t>
  </si>
  <si>
    <t>DNP-1698 Reup VISA</t>
  </si>
  <si>
    <t>DNP-1700</t>
  </si>
  <si>
    <t>DNP-1700 Reup VISA</t>
  </si>
  <si>
    <t>DNP-1702</t>
  </si>
  <si>
    <t>DNP-1702 Reup VISA</t>
  </si>
  <si>
    <t>DNP-1704</t>
  </si>
  <si>
    <t>DNP-1704 Reup VISA</t>
  </si>
  <si>
    <t>DNP-1707</t>
  </si>
  <si>
    <t>DNP-1707 Reup VISA</t>
  </si>
  <si>
    <t>DNP-1708</t>
  </si>
  <si>
    <t>DNP-1708 Reup VISA</t>
  </si>
  <si>
    <t>DNP-1712</t>
  </si>
  <si>
    <t>DNP-1712 Reup VISA</t>
  </si>
  <si>
    <t>DNP-1727</t>
  </si>
  <si>
    <t>DNP-1727 Reup VISA</t>
  </si>
  <si>
    <t>DNP-1729</t>
  </si>
  <si>
    <t>DNP-1729 Reup VISA</t>
  </si>
  <si>
    <t>DNP-1739</t>
  </si>
  <si>
    <t>DNP-1739 Reup VISA</t>
  </si>
  <si>
    <t>DNP-1751</t>
  </si>
  <si>
    <t>DNP-1751 Reup VISA</t>
  </si>
  <si>
    <t>DNP-1753</t>
  </si>
  <si>
    <t>DNP-1753 Reup VISA</t>
  </si>
  <si>
    <t>DNP-1772</t>
  </si>
  <si>
    <t>DNP-1772 Reup VISA</t>
  </si>
  <si>
    <t>DNP-1774</t>
  </si>
  <si>
    <t>DNP-1774 Reup VISA</t>
  </si>
  <si>
    <t>DNP-1776</t>
  </si>
  <si>
    <t>DNP-1776 Reup VISA</t>
  </si>
  <si>
    <t>DNP-1778</t>
  </si>
  <si>
    <t>DNP-1778 Reup VISA</t>
  </si>
  <si>
    <t>DNP-1781</t>
  </si>
  <si>
    <t>DNP-1781 Reup VISA</t>
  </si>
  <si>
    <t>DNP-1783</t>
  </si>
  <si>
    <t>DNP-1783 Reup VISA</t>
  </si>
  <si>
    <t>DNP-1785</t>
  </si>
  <si>
    <t>DNP-1785 Reup VISA</t>
  </si>
  <si>
    <t>DNP-1787</t>
  </si>
  <si>
    <t>DNP-1787 Reup VISA</t>
  </si>
  <si>
    <t>DNP-1789</t>
  </si>
  <si>
    <t>DNP-1789 Reup VISA</t>
  </si>
  <si>
    <t>DNP-1791</t>
  </si>
  <si>
    <t>DNP-1791 Reup VISA</t>
  </si>
  <si>
    <t>DNP-1793</t>
  </si>
  <si>
    <t>DNP-1793 Reup VISA</t>
  </si>
  <si>
    <t>DNP-1795</t>
  </si>
  <si>
    <t>DNP-1795 Reup VISA</t>
  </si>
  <si>
    <t>isawitdie86@yahoo.com</t>
  </si>
  <si>
    <t>IL</t>
  </si>
  <si>
    <t>USA</t>
  </si>
  <si>
    <t>66.87.89.196</t>
  </si>
  <si>
    <t>431307***0384</t>
  </si>
  <si>
    <t>VISA</t>
  </si>
  <si>
    <t>Credit</t>
  </si>
  <si>
    <t>FIA CARD SERVICES, N.A.</t>
  </si>
  <si>
    <t>CHARGEVERIFY (50451987): passed</t>
  </si>
  <si>
    <t>Merchant 2295</t>
  </si>
  <si>
    <t>stefanrakonjac@yahoo.com</t>
  </si>
  <si>
    <t>CA</t>
  </si>
  <si>
    <t>76.91.229.40</t>
  </si>
  <si>
    <t>481582***3177</t>
  </si>
  <si>
    <t>Unknown</t>
  </si>
  <si>
    <t>CHARGEVERIFY (50448567): passed</t>
  </si>
  <si>
    <t>SPORTS4PLAY@ATT.NET</t>
  </si>
  <si>
    <t>SC</t>
  </si>
  <si>
    <t>70.197.162.164</t>
  </si>
  <si>
    <t>402944***7278</t>
  </si>
  <si>
    <t>Debit</t>
  </si>
  <si>
    <t>TD BANK, N.A.</t>
  </si>
  <si>
    <t>CHARGEVERIFY (50446245): passed</t>
  </si>
  <si>
    <t>robertbholmes@gmail.com</t>
  </si>
  <si>
    <t>NC</t>
  </si>
  <si>
    <t>184.76.223.219</t>
  </si>
  <si>
    <t>482851***3011</t>
  </si>
  <si>
    <t>WACHOVIA BANK, N.A.</t>
  </si>
  <si>
    <t>CHARGEVERIFY (50440653): passed</t>
  </si>
  <si>
    <t>70.197.169.76</t>
  </si>
  <si>
    <t>CHARGEVERIFY (50440149): passed</t>
  </si>
  <si>
    <t>Nohobob@aol.com</t>
  </si>
  <si>
    <t>76.218.245.132</t>
  </si>
  <si>
    <t>434256***0451</t>
  </si>
  <si>
    <t>WELLS FARGO BANK, N.A.</t>
  </si>
  <si>
    <t>CHARGEVERIFY (50438032): passed</t>
  </si>
  <si>
    <t>CNEV100@GMAIL.COM</t>
  </si>
  <si>
    <t>TX</t>
  </si>
  <si>
    <t>68.203.5.82</t>
  </si>
  <si>
    <t>405496***2601</t>
  </si>
  <si>
    <t>A+ F.C.U.</t>
  </si>
  <si>
    <t>CHARGEVERIFY (50432946): passed</t>
  </si>
  <si>
    <t>66.168.32.116</t>
  </si>
  <si>
    <t>CHARGEVERIFY (50425575): passed</t>
  </si>
  <si>
    <t>LOAN27@YAHOO.COM</t>
  </si>
  <si>
    <t>75.83.188.210</t>
  </si>
  <si>
    <t>417031***8113</t>
  </si>
  <si>
    <t>MID-CITIES C.U.</t>
  </si>
  <si>
    <t>CHARGEVERIFY (50423927): passed</t>
  </si>
  <si>
    <t>krk1030@gmail.com</t>
  </si>
  <si>
    <t>CT</t>
  </si>
  <si>
    <t>173.3.100.56</t>
  </si>
  <si>
    <t>433443***4683</t>
  </si>
  <si>
    <t>WEBSTER BANK, N.A.</t>
  </si>
  <si>
    <t>CHARGEVERIFY (50422521): passed</t>
  </si>
  <si>
    <t>MALDO@ATT.NET</t>
  </si>
  <si>
    <t>OH</t>
  </si>
  <si>
    <t>108.66.125.97</t>
  </si>
  <si>
    <t>442795***0699</t>
  </si>
  <si>
    <t>CHARGEVERIFY (50421749): passed</t>
  </si>
  <si>
    <t>66.87.121.163</t>
  </si>
  <si>
    <t>CHARGEVERIFY (50420049): passed</t>
  </si>
  <si>
    <t>kschaffer1981@hotmail.com</t>
  </si>
  <si>
    <t>NE</t>
  </si>
  <si>
    <t>75.163.64.224</t>
  </si>
  <si>
    <t>419002***6377</t>
  </si>
  <si>
    <t>U.S. BANK, N.A.</t>
  </si>
  <si>
    <t>CHARGEVERIFY (50404137): passed</t>
  </si>
  <si>
    <t>434258***6650</t>
  </si>
  <si>
    <t>CHARGEVERIFY (50391712): passed</t>
  </si>
  <si>
    <t>CHARGEVERIFY (50340444): passed</t>
  </si>
  <si>
    <t>JEFF.RUDEL@GMAIL.COM</t>
  </si>
  <si>
    <t>IN</t>
  </si>
  <si>
    <t>76.248.245.216</t>
  </si>
  <si>
    <t>412800***4128</t>
  </si>
  <si>
    <t>CITIBANK, N.A.</t>
  </si>
  <si>
    <t>CHARGEVERIFY (50336868): passed</t>
  </si>
  <si>
    <t>emiller14@triad.rr.com</t>
  </si>
  <si>
    <t>24.211.174.203</t>
  </si>
  <si>
    <t>423882***5922</t>
  </si>
  <si>
    <t>SUMMIT C.U.</t>
  </si>
  <si>
    <t>CHARGEVERIFY (50335519): passed</t>
  </si>
  <si>
    <t>CHARGEVERIFY (50319382): passed</t>
  </si>
  <si>
    <t>CHARGEVERIFY (50315597): passed</t>
  </si>
  <si>
    <t>406032***7053</t>
  </si>
  <si>
    <t>JPMORGAN CHASE BANK, N.A.</t>
  </si>
  <si>
    <t>CHARGEVERIFY (50315581): passed</t>
  </si>
  <si>
    <t>CHARGEVERIFY (50315457): passed</t>
  </si>
  <si>
    <t>ragdoll49@gmail.com</t>
  </si>
  <si>
    <t>NH</t>
  </si>
  <si>
    <t>70.192.0.127</t>
  </si>
  <si>
    <t>464917***1374</t>
  </si>
  <si>
    <t>BELLWETHER COMMUNITY CREDIT UNION</t>
  </si>
  <si>
    <t>CHARGEVERIFY (50304146): passed</t>
  </si>
  <si>
    <t>rodiers1@gmail.com</t>
  </si>
  <si>
    <t>NJ</t>
  </si>
  <si>
    <t>68.36.63.57</t>
  </si>
  <si>
    <t>443051***8654</t>
  </si>
  <si>
    <t>PNC BANK, N.A.</t>
  </si>
  <si>
    <t>CHARGEVERIFY (50303078): passed</t>
  </si>
  <si>
    <t>SPG2010@AOL.COM</t>
  </si>
  <si>
    <t>VA</t>
  </si>
  <si>
    <t>72.66.20.186</t>
  </si>
  <si>
    <t>441840***5120</t>
  </si>
  <si>
    <t>FIRST NATIONAL BANK OF OMAHA</t>
  </si>
  <si>
    <t>CHARGEVERIFY (50296870): passed</t>
  </si>
  <si>
    <t>70.193.28.61</t>
  </si>
  <si>
    <t>CHARGEVERIFY (50272632): passed</t>
  </si>
  <si>
    <t>biggnutts4life@yahoo.com</t>
  </si>
  <si>
    <t>NY</t>
  </si>
  <si>
    <t>174.44.56.27</t>
  </si>
  <si>
    <t>486236***8232</t>
  </si>
  <si>
    <t>CAPITAL ONE BANK (USA), N.A.</t>
  </si>
  <si>
    <t>CHARGEVERIFY (50272477): passed</t>
  </si>
  <si>
    <t>kadekearney@yahoo.com</t>
  </si>
  <si>
    <t>MN</t>
  </si>
  <si>
    <t>198.228.233.236</t>
  </si>
  <si>
    <t>432371***2932</t>
  </si>
  <si>
    <t>CHARGEVERIFY (50233739): passed</t>
  </si>
  <si>
    <t>CHARGEVERIFY (50214778): passed</t>
  </si>
  <si>
    <t>1797</t>
  </si>
  <si>
    <t>643194191</t>
  </si>
  <si>
    <t>PS-approved_approved</t>
  </si>
  <si>
    <t>PAYMENTSERV.COM +18772924507</t>
  </si>
  <si>
    <t>2013-03-10 02:02:20</t>
  </si>
  <si>
    <t>2013-03-10 02:02:27</t>
  </si>
  <si>
    <t>2013-03-10 02:02:22</t>
  </si>
  <si>
    <t>166.205.50.80</t>
  </si>
  <si>
    <t>Matthew</t>
  </si>
  <si>
    <t>Guy</t>
  </si>
  <si>
    <t>28269</t>
  </si>
  <si>
    <t>CHARLOTTE</t>
  </si>
  <si>
    <t>US</t>
  </si>
  <si>
    <t>MARBURY RD</t>
  </si>
  <si>
    <t>[QPPMT16]SBO_PS_Live_Visa</t>
  </si>
  <si>
    <t>(QPPMT16)PaymentServ_Live_VS</t>
  </si>
  <si>
    <t>10</t>
  </si>
  <si>
    <t>2016</t>
  </si>
  <si>
    <t>************2405</t>
  </si>
  <si>
    <t>www.sportsbettingonline.ag</t>
  </si>
  <si>
    <t>1798</t>
  </si>
  <si>
    <t>103073746785</t>
  </si>
  <si>
    <t>QW-01-0-Payment Success</t>
  </si>
  <si>
    <t>FaithGellalo co.,LTD</t>
  </si>
  <si>
    <t>2013-03-10 04:25:17</t>
  </si>
  <si>
    <t>2013-03-10 12:25:23</t>
  </si>
  <si>
    <t>2013-03-10 04:25:20</t>
  </si>
  <si>
    <t>74.60.25.39</t>
  </si>
  <si>
    <t>[QPPMT18]SBO_QW_Live_Visa</t>
  </si>
  <si>
    <t>(QPPMT18)QWIPI_Visa_Live</t>
  </si>
  <si>
    <t>9</t>
  </si>
  <si>
    <t>2013</t>
  </si>
  <si>
    <t>************9239</t>
  </si>
  <si>
    <t>1779</t>
  </si>
  <si>
    <t>103073728405</t>
  </si>
  <si>
    <t>2013-03-09 15:57:32</t>
  </si>
  <si>
    <t>2013-03-09 11:57:39</t>
  </si>
  <si>
    <t>2013-03-09 03:57:32</t>
  </si>
  <si>
    <t>1735</t>
  </si>
  <si>
    <t>103073684178</t>
  </si>
  <si>
    <t>2013-03-07 19:40:10</t>
  </si>
  <si>
    <t>2013-03-08 03:40:14</t>
  </si>
  <si>
    <t>2013-03-07 07:40:36</t>
  </si>
  <si>
    <t>93.136.37.30</t>
  </si>
  <si>
    <t>Toni</t>
  </si>
  <si>
    <t>Modrusan</t>
  </si>
  <si>
    <t>47240</t>
  </si>
  <si>
    <t>Slunj</t>
  </si>
  <si>
    <t>NA</t>
  </si>
  <si>
    <t>HR</t>
  </si>
  <si>
    <t>14. dom. pukovnije 27</t>
  </si>
  <si>
    <t>2</t>
  </si>
  <si>
    <t>************6016</t>
  </si>
  <si>
    <t>DF</t>
  </si>
  <si>
    <t>DGSDNP</t>
  </si>
  <si>
    <t>DGSQP</t>
  </si>
  <si>
    <t>DGSQP1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</si>
</sst>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&quot;-&quot;dd&quot;-&quot;yyyy"/>
    <numFmt numFmtId="165" formatCode="###,###.00"/>
    <numFmt numFmtId="166" formatCode="yyyy\-mm\-dd\ h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MS Sans Serif"/>
    </font>
    <font>
      <sz val="8.0500000000000007"/>
      <color indexed="8"/>
      <name val="Taho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NumberFormat="0" applyFont="0" applyFill="0" applyBorder="0" applyAlignment="0" applyProtection="0">
      <alignment vertical="top"/>
      <protection locked="0"/>
    </xf>
    <xf numFmtId="0" fontId="18" fillId="0" borderId="0"/>
  </cellStyleXfs>
  <cellXfs count="32">
    <xf numFmtId="0" fontId="0" fillId="0" borderId="0" xfId="0"/>
    <xf numFmtId="164" fontId="19" fillId="0" borderId="0" xfId="43" applyNumberFormat="1" applyFont="1" applyAlignment="1">
      <alignment vertical="center"/>
    </xf>
    <xf numFmtId="0" fontId="19" fillId="0" borderId="0" xfId="43" applyFont="1" applyAlignment="1">
      <alignment vertical="center"/>
    </xf>
    <xf numFmtId="3" fontId="19" fillId="0" borderId="0" xfId="43" applyNumberFormat="1" applyFont="1" applyAlignment="1">
      <alignment horizontal="right" vertical="center"/>
    </xf>
    <xf numFmtId="0" fontId="18" fillId="0" borderId="0" xfId="43" applyNumberFormat="1" applyFill="1" applyBorder="1" applyAlignment="1" applyProtection="1"/>
    <xf numFmtId="0" fontId="18" fillId="0" borderId="0" xfId="43" applyNumberFormat="1" applyFill="1" applyBorder="1" applyAlignment="1" applyProtection="1"/>
    <xf numFmtId="3" fontId="19" fillId="0" borderId="0" xfId="43" applyNumberFormat="1" applyFont="1" applyAlignment="1">
      <alignment horizontal="right" vertical="center"/>
    </xf>
    <xf numFmtId="164" fontId="19" fillId="0" borderId="0" xfId="43" applyNumberFormat="1" applyFont="1" applyAlignment="1">
      <alignment vertical="center"/>
    </xf>
    <xf numFmtId="0" fontId="19" fillId="0" borderId="0" xfId="43" applyFont="1" applyAlignment="1">
      <alignment vertical="center"/>
    </xf>
    <xf numFmtId="0" fontId="18" fillId="0" borderId="0" xfId="43" applyNumberFormat="1" applyFill="1" applyBorder="1" applyAlignment="1" applyProtection="1"/>
    <xf numFmtId="0" fontId="0" fillId="0" borderId="0" xfId="0"/>
    <xf numFmtId="22" fontId="0" fillId="0" borderId="0" xfId="0" applyNumberFormat="1"/>
    <xf numFmtId="0" fontId="19" fillId="0" borderId="0" xfId="43" applyFont="1" applyAlignment="1">
      <alignment vertical="center"/>
    </xf>
    <xf numFmtId="164" fontId="19" fillId="0" borderId="0" xfId="43" applyNumberFormat="1" applyFont="1" applyAlignment="1">
      <alignment vertical="center"/>
    </xf>
    <xf numFmtId="3" fontId="19" fillId="0" borderId="0" xfId="43" applyNumberFormat="1" applyFont="1" applyAlignment="1">
      <alignment horizontal="right" vertical="center"/>
    </xf>
    <xf numFmtId="0" fontId="0" fillId="0" borderId="0" xfId="42" applyNumberFormat="1" applyFont="1" applyFill="1" applyBorder="1" applyAlignment="1" applyProtection="1">
      <alignment vertical="top"/>
      <protection locked="0"/>
    </xf>
    <xf numFmtId="165" fontId="0" fillId="0" borderId="0" xfId="42" applyNumberFormat="1" applyFont="1" applyFill="1" applyBorder="1" applyAlignment="1" applyProtection="1">
      <alignment vertical="top"/>
      <protection locked="0"/>
    </xf>
    <xf numFmtId="166" fontId="0" fillId="0" borderId="0" xfId="42" applyNumberFormat="1" applyFont="1" applyFill="1" applyBorder="1" applyAlignment="1" applyProtection="1">
      <alignment vertical="top"/>
      <protection locked="0"/>
    </xf>
    <xf numFmtId="0" fontId="0" fillId="0" borderId="0" xfId="0" applyNumberFormat="1" applyFont="1" applyFill="1" applyBorder="1" applyAlignment="1" applyProtection="1">
      <alignment vertical="top"/>
      <protection locked="0"/>
    </xf>
    <xf numFmtId="165" fontId="0" fillId="0" borderId="0" xfId="0" applyNumberFormat="1" applyFont="1" applyFill="1" applyBorder="1" applyAlignment="1" applyProtection="1">
      <alignment vertical="top"/>
      <protection locked="0"/>
    </xf>
    <xf numFmtId="166" fontId="0" fillId="0" borderId="0" xfId="0" applyNumberFormat="1" applyFont="1" applyFill="1" applyBorder="1" applyAlignment="1" applyProtection="1">
      <alignment vertical="top"/>
      <protection locked="0"/>
    </xf>
    <xf numFmtId="3" fontId="0" fillId="0" borderId="0" xfId="0" applyNumberFormat="1"/>
    <xf numFmtId="0" fontId="1" fillId="19" borderId="0" xfId="28"/>
    <xf numFmtId="0" fontId="1" fillId="11" borderId="0" xfId="20"/>
    <xf numFmtId="0" fontId="1" fillId="11" borderId="0" xfId="20" applyNumberFormat="1" applyBorder="1" applyAlignment="1" applyProtection="1">
      <alignment horizontal="right" vertical="top"/>
      <protection locked="0"/>
    </xf>
    <xf numFmtId="165" fontId="1" fillId="11" borderId="0" xfId="20" applyNumberFormat="1" applyBorder="1" applyAlignment="1" applyProtection="1">
      <alignment vertical="top"/>
      <protection locked="0"/>
    </xf>
    <xf numFmtId="0" fontId="1" fillId="19" borderId="0" xfId="28" applyAlignment="1">
      <alignment vertical="center"/>
    </xf>
    <xf numFmtId="3" fontId="1" fillId="19" borderId="0" xfId="28" applyNumberFormat="1" applyAlignment="1">
      <alignment horizontal="right" vertical="center"/>
    </xf>
    <xf numFmtId="0" fontId="1" fillId="19" borderId="0" xfId="28" applyAlignment="1">
      <alignment horizontal="right" vertical="center"/>
    </xf>
    <xf numFmtId="0" fontId="1" fillId="23" borderId="0" xfId="32"/>
    <xf numFmtId="0" fontId="7" fillId="3" borderId="0" xfId="7"/>
    <xf numFmtId="3" fontId="7" fillId="3" borderId="0" xfId="7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/>
    <cellStyle name="Normal 3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selection activeCell="A29" sqref="A29:XFD30"/>
    </sheetView>
  </sheetViews>
  <sheetFormatPr defaultRowHeight="15" x14ac:dyDescent="0.25"/>
  <sheetData>
    <row r="1" spans="1:20" s="10" customFormat="1" x14ac:dyDescent="0.25">
      <c r="A1" s="10">
        <v>65611902</v>
      </c>
      <c r="B1" s="11">
        <v>41343.080567129633</v>
      </c>
      <c r="C1" s="10" t="s">
        <v>129</v>
      </c>
      <c r="D1" s="10" t="s">
        <v>24</v>
      </c>
      <c r="E1" s="10" t="s">
        <v>130</v>
      </c>
      <c r="F1" s="10" t="s">
        <v>131</v>
      </c>
      <c r="G1" s="10">
        <v>8152742666</v>
      </c>
      <c r="H1" s="10">
        <v>26</v>
      </c>
      <c r="I1" s="10" t="s">
        <v>132</v>
      </c>
      <c r="J1" s="10" t="s">
        <v>133</v>
      </c>
      <c r="K1" s="10" t="s">
        <v>134</v>
      </c>
      <c r="L1" s="10" t="s">
        <v>135</v>
      </c>
      <c r="M1" s="10" t="s">
        <v>136</v>
      </c>
      <c r="N1" s="10">
        <v>110</v>
      </c>
      <c r="O1" s="10">
        <v>0.95</v>
      </c>
      <c r="P1" s="10" t="s">
        <v>5</v>
      </c>
      <c r="Q1" s="10" t="s">
        <v>137</v>
      </c>
      <c r="R1" s="10">
        <v>1795</v>
      </c>
      <c r="S1" s="10" t="s">
        <v>138</v>
      </c>
      <c r="T1" s="10">
        <v>0</v>
      </c>
    </row>
    <row r="2" spans="1:20" s="10" customFormat="1" x14ac:dyDescent="0.25">
      <c r="A2" s="10">
        <v>65611732</v>
      </c>
      <c r="B2" s="11">
        <v>41343.027881944443</v>
      </c>
      <c r="C2" s="10" t="s">
        <v>139</v>
      </c>
      <c r="D2" s="10" t="s">
        <v>27</v>
      </c>
      <c r="E2" s="10" t="s">
        <v>140</v>
      </c>
      <c r="F2" s="10" t="s">
        <v>131</v>
      </c>
      <c r="G2" s="10">
        <v>7145555555</v>
      </c>
      <c r="H2" s="10">
        <v>21</v>
      </c>
      <c r="I2" s="10" t="s">
        <v>141</v>
      </c>
      <c r="J2" s="10" t="s">
        <v>142</v>
      </c>
      <c r="K2" s="10" t="s">
        <v>143</v>
      </c>
      <c r="L2" s="10" t="s">
        <v>143</v>
      </c>
      <c r="N2" s="10">
        <v>20</v>
      </c>
      <c r="O2" s="10">
        <v>0.95</v>
      </c>
      <c r="P2" s="10" t="s">
        <v>5</v>
      </c>
      <c r="Q2" s="10" t="s">
        <v>144</v>
      </c>
      <c r="R2" s="10">
        <v>1793</v>
      </c>
      <c r="S2" s="10" t="s">
        <v>138</v>
      </c>
      <c r="T2" s="10">
        <v>0</v>
      </c>
    </row>
    <row r="3" spans="1:20" s="10" customFormat="1" x14ac:dyDescent="0.25">
      <c r="A3" s="10">
        <v>65611615</v>
      </c>
      <c r="B3" s="11">
        <v>41342.993923611109</v>
      </c>
      <c r="C3" s="10" t="s">
        <v>145</v>
      </c>
      <c r="D3" s="10" t="s">
        <v>29</v>
      </c>
      <c r="E3" s="10" t="s">
        <v>146</v>
      </c>
      <c r="F3" s="10" t="s">
        <v>131</v>
      </c>
      <c r="G3" s="10">
        <v>8643183447</v>
      </c>
      <c r="H3" s="10">
        <v>47</v>
      </c>
      <c r="I3" s="10" t="s">
        <v>147</v>
      </c>
      <c r="J3" s="10" t="s">
        <v>148</v>
      </c>
      <c r="K3" s="10" t="s">
        <v>134</v>
      </c>
      <c r="L3" s="10" t="s">
        <v>149</v>
      </c>
      <c r="M3" s="10" t="s">
        <v>150</v>
      </c>
      <c r="N3" s="10">
        <v>25</v>
      </c>
      <c r="O3" s="10">
        <v>0.95</v>
      </c>
      <c r="P3" s="10" t="s">
        <v>5</v>
      </c>
      <c r="Q3" s="10" t="s">
        <v>151</v>
      </c>
      <c r="R3" s="10">
        <v>1791</v>
      </c>
      <c r="S3" s="10" t="s">
        <v>138</v>
      </c>
      <c r="T3" s="10">
        <v>0</v>
      </c>
    </row>
    <row r="4" spans="1:20" s="10" customFormat="1" x14ac:dyDescent="0.25">
      <c r="A4" s="10">
        <v>65611341</v>
      </c>
      <c r="B4" s="11">
        <v>41342.918599537035</v>
      </c>
      <c r="C4" s="10" t="s">
        <v>152</v>
      </c>
      <c r="D4" s="10" t="s">
        <v>31</v>
      </c>
      <c r="E4" s="10" t="s">
        <v>153</v>
      </c>
      <c r="F4" s="10" t="s">
        <v>131</v>
      </c>
      <c r="G4" s="10">
        <v>7044886585</v>
      </c>
      <c r="H4" s="10">
        <v>43</v>
      </c>
      <c r="I4" s="10" t="s">
        <v>154</v>
      </c>
      <c r="J4" s="10" t="s">
        <v>155</v>
      </c>
      <c r="K4" s="10" t="s">
        <v>134</v>
      </c>
      <c r="L4" s="10" t="s">
        <v>149</v>
      </c>
      <c r="M4" s="10" t="s">
        <v>156</v>
      </c>
      <c r="N4" s="10">
        <v>50</v>
      </c>
      <c r="O4" s="10">
        <v>0.95</v>
      </c>
      <c r="P4" s="10" t="s">
        <v>5</v>
      </c>
      <c r="Q4" s="10" t="s">
        <v>157</v>
      </c>
      <c r="R4" s="10">
        <v>1789</v>
      </c>
      <c r="S4" s="10" t="s">
        <v>138</v>
      </c>
      <c r="T4" s="10">
        <v>0</v>
      </c>
    </row>
    <row r="5" spans="1:20" s="10" customFormat="1" x14ac:dyDescent="0.25">
      <c r="A5" s="10">
        <v>65611318</v>
      </c>
      <c r="B5" s="11">
        <v>41342.911921296298</v>
      </c>
      <c r="C5" s="10" t="s">
        <v>145</v>
      </c>
      <c r="D5" s="10" t="s">
        <v>29</v>
      </c>
      <c r="E5" s="10" t="s">
        <v>146</v>
      </c>
      <c r="F5" s="10" t="s">
        <v>131</v>
      </c>
      <c r="G5" s="10">
        <v>8643183447</v>
      </c>
      <c r="H5" s="10">
        <v>47</v>
      </c>
      <c r="I5" s="10" t="s">
        <v>158</v>
      </c>
      <c r="J5" s="10" t="s">
        <v>148</v>
      </c>
      <c r="K5" s="10" t="s">
        <v>134</v>
      </c>
      <c r="L5" s="10" t="s">
        <v>149</v>
      </c>
      <c r="M5" s="10" t="s">
        <v>150</v>
      </c>
      <c r="N5" s="10">
        <v>100</v>
      </c>
      <c r="O5" s="10">
        <v>0.95</v>
      </c>
      <c r="P5" s="10" t="s">
        <v>5</v>
      </c>
      <c r="Q5" s="10" t="s">
        <v>159</v>
      </c>
      <c r="R5" s="10">
        <v>1787</v>
      </c>
      <c r="S5" s="10" t="s">
        <v>138</v>
      </c>
      <c r="T5" s="10">
        <v>0</v>
      </c>
    </row>
    <row r="6" spans="1:20" s="10" customFormat="1" x14ac:dyDescent="0.25">
      <c r="A6" s="10">
        <v>65611214</v>
      </c>
      <c r="B6" s="11">
        <v>41342.884108796294</v>
      </c>
      <c r="C6" s="10" t="s">
        <v>160</v>
      </c>
      <c r="D6" s="10" t="s">
        <v>33</v>
      </c>
      <c r="E6" s="10" t="s">
        <v>140</v>
      </c>
      <c r="F6" s="10" t="s">
        <v>131</v>
      </c>
      <c r="G6" s="10">
        <v>8187622447</v>
      </c>
      <c r="H6" s="10">
        <v>55</v>
      </c>
      <c r="I6" s="10" t="s">
        <v>161</v>
      </c>
      <c r="J6" s="10" t="s">
        <v>162</v>
      </c>
      <c r="K6" s="10" t="s">
        <v>134</v>
      </c>
      <c r="L6" s="10" t="s">
        <v>149</v>
      </c>
      <c r="M6" s="10" t="s">
        <v>163</v>
      </c>
      <c r="N6" s="10">
        <v>200</v>
      </c>
      <c r="O6" s="10">
        <v>0.95</v>
      </c>
      <c r="P6" s="10" t="s">
        <v>5</v>
      </c>
      <c r="Q6" s="10" t="s">
        <v>164</v>
      </c>
      <c r="R6" s="10">
        <v>1785</v>
      </c>
      <c r="S6" s="10" t="s">
        <v>138</v>
      </c>
      <c r="T6" s="10">
        <v>0</v>
      </c>
    </row>
    <row r="7" spans="1:20" s="10" customFormat="1" x14ac:dyDescent="0.25">
      <c r="A7" s="10">
        <v>65610967</v>
      </c>
      <c r="B7" s="11">
        <v>41342.799143518518</v>
      </c>
      <c r="C7" s="10" t="s">
        <v>165</v>
      </c>
      <c r="D7" s="10" t="s">
        <v>35</v>
      </c>
      <c r="E7" s="10" t="s">
        <v>166</v>
      </c>
      <c r="F7" s="10" t="s">
        <v>131</v>
      </c>
      <c r="G7" s="10">
        <v>5127919111</v>
      </c>
      <c r="H7" s="10">
        <v>29</v>
      </c>
      <c r="I7" s="10" t="s">
        <v>167</v>
      </c>
      <c r="J7" s="10" t="s">
        <v>168</v>
      </c>
      <c r="K7" s="10" t="s">
        <v>134</v>
      </c>
      <c r="L7" s="10" t="s">
        <v>149</v>
      </c>
      <c r="M7" s="10" t="s">
        <v>169</v>
      </c>
      <c r="N7" s="10">
        <v>20</v>
      </c>
      <c r="O7" s="10">
        <v>0.95</v>
      </c>
      <c r="P7" s="10" t="s">
        <v>5</v>
      </c>
      <c r="Q7" s="10" t="s">
        <v>170</v>
      </c>
      <c r="R7" s="10">
        <v>1783</v>
      </c>
      <c r="S7" s="10" t="s">
        <v>138</v>
      </c>
      <c r="T7" s="10">
        <v>0</v>
      </c>
    </row>
    <row r="8" spans="1:20" s="10" customFormat="1" x14ac:dyDescent="0.25">
      <c r="A8" s="10">
        <v>65610605</v>
      </c>
      <c r="B8" s="11">
        <v>41342.683807870373</v>
      </c>
      <c r="C8" s="10" t="s">
        <v>145</v>
      </c>
      <c r="D8" s="10" t="s">
        <v>29</v>
      </c>
      <c r="E8" s="10" t="s">
        <v>146</v>
      </c>
      <c r="F8" s="10" t="s">
        <v>131</v>
      </c>
      <c r="G8" s="10">
        <v>8643183447</v>
      </c>
      <c r="H8" s="10">
        <v>47</v>
      </c>
      <c r="I8" s="10" t="s">
        <v>171</v>
      </c>
      <c r="J8" s="10" t="s">
        <v>148</v>
      </c>
      <c r="K8" s="10" t="s">
        <v>134</v>
      </c>
      <c r="L8" s="10" t="s">
        <v>149</v>
      </c>
      <c r="M8" s="10" t="s">
        <v>150</v>
      </c>
      <c r="N8" s="10">
        <v>125</v>
      </c>
      <c r="O8" s="10">
        <v>0.95</v>
      </c>
      <c r="P8" s="10" t="s">
        <v>5</v>
      </c>
      <c r="Q8" s="10" t="s">
        <v>172</v>
      </c>
      <c r="R8" s="10">
        <v>1781</v>
      </c>
      <c r="S8" s="10" t="s">
        <v>138</v>
      </c>
      <c r="T8" s="10">
        <v>0</v>
      </c>
    </row>
    <row r="9" spans="1:20" s="10" customFormat="1" x14ac:dyDescent="0.25">
      <c r="A9" s="10">
        <v>65610519</v>
      </c>
      <c r="B9" s="11">
        <v>41342.657199074078</v>
      </c>
      <c r="C9" s="10" t="s">
        <v>173</v>
      </c>
      <c r="D9" s="10" t="s">
        <v>38</v>
      </c>
      <c r="E9" s="10" t="s">
        <v>140</v>
      </c>
      <c r="F9" s="10" t="s">
        <v>131</v>
      </c>
      <c r="G9" s="10">
        <v>5622005607</v>
      </c>
      <c r="H9" s="10">
        <v>42</v>
      </c>
      <c r="I9" s="10" t="s">
        <v>174</v>
      </c>
      <c r="J9" s="10" t="s">
        <v>175</v>
      </c>
      <c r="K9" s="10" t="s">
        <v>134</v>
      </c>
      <c r="L9" s="10" t="s">
        <v>149</v>
      </c>
      <c r="M9" s="10" t="s">
        <v>176</v>
      </c>
      <c r="N9" s="10">
        <v>100</v>
      </c>
      <c r="O9" s="10">
        <v>0.95</v>
      </c>
      <c r="P9" s="10" t="s">
        <v>5</v>
      </c>
      <c r="Q9" s="10" t="s">
        <v>177</v>
      </c>
      <c r="R9" s="10">
        <v>1778</v>
      </c>
      <c r="S9" s="10" t="s">
        <v>138</v>
      </c>
      <c r="T9" s="10">
        <v>0</v>
      </c>
    </row>
    <row r="10" spans="1:20" s="10" customFormat="1" x14ac:dyDescent="0.25">
      <c r="A10" s="10">
        <v>65610449</v>
      </c>
      <c r="B10" s="11">
        <v>41342.625636574077</v>
      </c>
      <c r="C10" s="10" t="s">
        <v>178</v>
      </c>
      <c r="D10" s="10" t="s">
        <v>40</v>
      </c>
      <c r="E10" s="10" t="s">
        <v>179</v>
      </c>
      <c r="F10" s="10" t="s">
        <v>131</v>
      </c>
      <c r="G10" s="10">
        <v>2032183645</v>
      </c>
      <c r="H10" s="10">
        <v>22</v>
      </c>
      <c r="I10" s="10" t="s">
        <v>180</v>
      </c>
      <c r="J10" s="10" t="s">
        <v>181</v>
      </c>
      <c r="K10" s="10" t="s">
        <v>134</v>
      </c>
      <c r="L10" s="10" t="s">
        <v>149</v>
      </c>
      <c r="M10" s="10" t="s">
        <v>182</v>
      </c>
      <c r="N10" s="10">
        <v>250</v>
      </c>
      <c r="O10" s="10">
        <v>0.95</v>
      </c>
      <c r="P10" s="10" t="s">
        <v>5</v>
      </c>
      <c r="Q10" s="10" t="s">
        <v>183</v>
      </c>
      <c r="R10" s="10">
        <v>1776</v>
      </c>
      <c r="S10" s="10" t="s">
        <v>138</v>
      </c>
      <c r="T10" s="10">
        <v>0</v>
      </c>
    </row>
    <row r="11" spans="1:20" s="10" customFormat="1" x14ac:dyDescent="0.25">
      <c r="A11" s="10">
        <v>65610410</v>
      </c>
      <c r="B11" s="11">
        <v>41342.596736111111</v>
      </c>
      <c r="C11" s="10" t="s">
        <v>184</v>
      </c>
      <c r="D11" s="10" t="s">
        <v>42</v>
      </c>
      <c r="E11" s="10" t="s">
        <v>185</v>
      </c>
      <c r="F11" s="10" t="s">
        <v>131</v>
      </c>
      <c r="G11" s="10">
        <v>2163984447</v>
      </c>
      <c r="H11" s="10">
        <v>44</v>
      </c>
      <c r="I11" s="10" t="s">
        <v>186</v>
      </c>
      <c r="J11" s="10" t="s">
        <v>187</v>
      </c>
      <c r="K11" s="10" t="s">
        <v>134</v>
      </c>
      <c r="L11" s="10" t="s">
        <v>143</v>
      </c>
      <c r="N11" s="10">
        <v>100</v>
      </c>
      <c r="O11" s="10">
        <v>0.95</v>
      </c>
      <c r="P11" s="10" t="s">
        <v>5</v>
      </c>
      <c r="Q11" s="10" t="s">
        <v>188</v>
      </c>
      <c r="R11" s="10">
        <v>1774</v>
      </c>
      <c r="S11" s="10" t="s">
        <v>138</v>
      </c>
      <c r="T11" s="10">
        <v>0</v>
      </c>
    </row>
    <row r="12" spans="1:20" s="10" customFormat="1" x14ac:dyDescent="0.25">
      <c r="A12" s="10">
        <v>65610326</v>
      </c>
      <c r="B12" s="11">
        <v>41342.530011574076</v>
      </c>
      <c r="C12" s="10" t="s">
        <v>165</v>
      </c>
      <c r="D12" s="10" t="s">
        <v>35</v>
      </c>
      <c r="E12" s="10" t="s">
        <v>166</v>
      </c>
      <c r="F12" s="10" t="s">
        <v>131</v>
      </c>
      <c r="G12" s="10">
        <v>5127919111</v>
      </c>
      <c r="H12" s="10">
        <v>29</v>
      </c>
      <c r="I12" s="10" t="s">
        <v>189</v>
      </c>
      <c r="J12" s="10" t="s">
        <v>168</v>
      </c>
      <c r="K12" s="10" t="s">
        <v>134</v>
      </c>
      <c r="L12" s="10" t="s">
        <v>149</v>
      </c>
      <c r="M12" s="10" t="s">
        <v>169</v>
      </c>
      <c r="N12" s="10">
        <v>20</v>
      </c>
      <c r="O12" s="10">
        <v>0.95</v>
      </c>
      <c r="P12" s="10" t="s">
        <v>5</v>
      </c>
      <c r="Q12" s="10" t="s">
        <v>190</v>
      </c>
      <c r="R12" s="10">
        <v>1772</v>
      </c>
      <c r="S12" s="10" t="s">
        <v>138</v>
      </c>
      <c r="T12" s="10">
        <v>0</v>
      </c>
    </row>
    <row r="13" spans="1:20" s="10" customFormat="1" x14ac:dyDescent="0.25">
      <c r="A13" s="10">
        <v>65609558</v>
      </c>
      <c r="B13" s="11">
        <v>41342.114074074074</v>
      </c>
      <c r="C13" s="10" t="s">
        <v>191</v>
      </c>
      <c r="D13" s="10" t="s">
        <v>44</v>
      </c>
      <c r="E13" s="10" t="s">
        <v>192</v>
      </c>
      <c r="F13" s="10" t="s">
        <v>131</v>
      </c>
      <c r="G13" s="10">
        <v>4028855997</v>
      </c>
      <c r="H13" s="10">
        <v>31</v>
      </c>
      <c r="I13" s="10" t="s">
        <v>193</v>
      </c>
      <c r="J13" s="10" t="s">
        <v>194</v>
      </c>
      <c r="K13" s="10" t="s">
        <v>134</v>
      </c>
      <c r="L13" s="10" t="s">
        <v>149</v>
      </c>
      <c r="M13" s="10" t="s">
        <v>195</v>
      </c>
      <c r="N13" s="10">
        <v>250</v>
      </c>
      <c r="O13" s="10">
        <v>0.95</v>
      </c>
      <c r="P13" s="10" t="s">
        <v>5</v>
      </c>
      <c r="Q13" s="10" t="s">
        <v>196</v>
      </c>
      <c r="R13" s="10">
        <v>1753</v>
      </c>
      <c r="S13" s="10" t="s">
        <v>138</v>
      </c>
      <c r="T13" s="10">
        <v>0</v>
      </c>
    </row>
    <row r="14" spans="1:20" s="10" customFormat="1" x14ac:dyDescent="0.25">
      <c r="A14" s="10">
        <v>65608961</v>
      </c>
      <c r="B14" s="11">
        <v>41341.969143518516</v>
      </c>
      <c r="C14" s="10" t="s">
        <v>165</v>
      </c>
      <c r="D14" s="10" t="s">
        <v>35</v>
      </c>
      <c r="E14" s="10" t="s">
        <v>166</v>
      </c>
      <c r="F14" s="10" t="s">
        <v>131</v>
      </c>
      <c r="G14" s="10">
        <v>5127919111</v>
      </c>
      <c r="H14" s="10">
        <v>29</v>
      </c>
      <c r="I14" s="10" t="s">
        <v>189</v>
      </c>
      <c r="J14" s="10" t="s">
        <v>197</v>
      </c>
      <c r="K14" s="10" t="s">
        <v>134</v>
      </c>
      <c r="L14" s="10" t="s">
        <v>149</v>
      </c>
      <c r="M14" s="10" t="s">
        <v>163</v>
      </c>
      <c r="N14" s="10">
        <v>40</v>
      </c>
      <c r="O14" s="10">
        <v>0.95</v>
      </c>
      <c r="P14" s="10" t="s">
        <v>5</v>
      </c>
      <c r="Q14" s="10" t="s">
        <v>198</v>
      </c>
      <c r="R14" s="10">
        <v>1751</v>
      </c>
      <c r="S14" s="10" t="s">
        <v>138</v>
      </c>
      <c r="T14" s="10">
        <v>0</v>
      </c>
    </row>
    <row r="15" spans="1:20" s="10" customFormat="1" x14ac:dyDescent="0.25">
      <c r="A15" s="10">
        <v>65606548</v>
      </c>
      <c r="B15" s="11">
        <v>41340.840196759258</v>
      </c>
      <c r="C15" s="10" t="s">
        <v>165</v>
      </c>
      <c r="D15" s="10" t="s">
        <v>35</v>
      </c>
      <c r="E15" s="10" t="s">
        <v>166</v>
      </c>
      <c r="F15" s="10" t="s">
        <v>131</v>
      </c>
      <c r="G15" s="10">
        <v>5127919111</v>
      </c>
      <c r="H15" s="10">
        <v>29</v>
      </c>
      <c r="I15" s="10" t="s">
        <v>189</v>
      </c>
      <c r="J15" s="10" t="s">
        <v>197</v>
      </c>
      <c r="K15" s="10" t="s">
        <v>134</v>
      </c>
      <c r="L15" s="10" t="s">
        <v>149</v>
      </c>
      <c r="M15" s="10" t="s">
        <v>163</v>
      </c>
      <c r="N15" s="10">
        <v>31</v>
      </c>
      <c r="O15" s="10">
        <v>0.95</v>
      </c>
      <c r="P15" s="10" t="s">
        <v>5</v>
      </c>
      <c r="Q15" s="10" t="s">
        <v>199</v>
      </c>
      <c r="R15" s="10">
        <v>1739</v>
      </c>
      <c r="S15" s="10" t="s">
        <v>138</v>
      </c>
      <c r="T15" s="10">
        <v>0</v>
      </c>
    </row>
    <row r="16" spans="1:20" s="10" customFormat="1" x14ac:dyDescent="0.25">
      <c r="A16" s="10">
        <v>65606371</v>
      </c>
      <c r="B16" s="11">
        <v>41340.760324074072</v>
      </c>
      <c r="C16" s="10" t="s">
        <v>200</v>
      </c>
      <c r="D16" s="10" t="s">
        <v>49</v>
      </c>
      <c r="E16" s="10" t="s">
        <v>201</v>
      </c>
      <c r="F16" s="10" t="s">
        <v>131</v>
      </c>
      <c r="G16" s="10">
        <v>7708266754</v>
      </c>
      <c r="H16" s="10">
        <v>26</v>
      </c>
      <c r="I16" s="10" t="s">
        <v>202</v>
      </c>
      <c r="J16" s="10" t="s">
        <v>203</v>
      </c>
      <c r="K16" s="10" t="s">
        <v>134</v>
      </c>
      <c r="L16" s="10" t="s">
        <v>135</v>
      </c>
      <c r="M16" s="10" t="s">
        <v>204</v>
      </c>
      <c r="N16" s="10">
        <v>182</v>
      </c>
      <c r="O16" s="10">
        <v>0.95</v>
      </c>
      <c r="P16" s="10" t="s">
        <v>5</v>
      </c>
      <c r="Q16" s="10" t="s">
        <v>205</v>
      </c>
      <c r="R16" s="10">
        <v>1729</v>
      </c>
      <c r="S16" s="10" t="s">
        <v>138</v>
      </c>
      <c r="T16" s="10">
        <v>0</v>
      </c>
    </row>
    <row r="17" spans="1:20" s="10" customFormat="1" x14ac:dyDescent="0.25">
      <c r="A17" s="10">
        <v>65606298</v>
      </c>
      <c r="B17" s="11">
        <v>41340.727280092593</v>
      </c>
      <c r="C17" s="10" t="s">
        <v>206</v>
      </c>
      <c r="D17" s="10" t="s">
        <v>51</v>
      </c>
      <c r="E17" s="10" t="s">
        <v>153</v>
      </c>
      <c r="F17" s="10" t="s">
        <v>131</v>
      </c>
      <c r="G17" s="10">
        <v>3363923761</v>
      </c>
      <c r="H17" s="10">
        <v>58</v>
      </c>
      <c r="I17" s="10" t="s">
        <v>207</v>
      </c>
      <c r="J17" s="10" t="s">
        <v>208</v>
      </c>
      <c r="K17" s="10" t="s">
        <v>134</v>
      </c>
      <c r="L17" s="10" t="s">
        <v>149</v>
      </c>
      <c r="M17" s="10" t="s">
        <v>209</v>
      </c>
      <c r="N17" s="10">
        <v>52.39</v>
      </c>
      <c r="O17" s="10">
        <v>0.95</v>
      </c>
      <c r="P17" s="10" t="s">
        <v>5</v>
      </c>
      <c r="Q17" s="10" t="s">
        <v>210</v>
      </c>
      <c r="R17" s="10">
        <v>1727</v>
      </c>
      <c r="S17" s="10" t="s">
        <v>138</v>
      </c>
      <c r="T17" s="10">
        <v>0</v>
      </c>
    </row>
    <row r="18" spans="1:20" s="10" customFormat="1" x14ac:dyDescent="0.25">
      <c r="A18" s="10">
        <v>65605510</v>
      </c>
      <c r="B18" s="11">
        <v>41340.154756944445</v>
      </c>
      <c r="C18" s="10" t="s">
        <v>165</v>
      </c>
      <c r="D18" s="10" t="s">
        <v>35</v>
      </c>
      <c r="E18" s="10" t="s">
        <v>166</v>
      </c>
      <c r="F18" s="10" t="s">
        <v>131</v>
      </c>
      <c r="G18" s="10">
        <v>5127919111</v>
      </c>
      <c r="H18" s="10">
        <v>29</v>
      </c>
      <c r="I18" s="10" t="s">
        <v>167</v>
      </c>
      <c r="J18" s="10" t="s">
        <v>168</v>
      </c>
      <c r="K18" s="10" t="s">
        <v>134</v>
      </c>
      <c r="L18" s="10" t="s">
        <v>149</v>
      </c>
      <c r="M18" s="10" t="s">
        <v>169</v>
      </c>
      <c r="N18" s="10">
        <v>20</v>
      </c>
      <c r="O18" s="10">
        <v>0.95</v>
      </c>
      <c r="P18" s="10" t="s">
        <v>5</v>
      </c>
      <c r="Q18" s="10" t="s">
        <v>211</v>
      </c>
      <c r="R18" s="10">
        <v>1712</v>
      </c>
      <c r="S18" s="10" t="s">
        <v>138</v>
      </c>
      <c r="T18" s="10">
        <v>0</v>
      </c>
    </row>
    <row r="19" spans="1:20" s="10" customFormat="1" x14ac:dyDescent="0.25">
      <c r="A19" s="10">
        <v>65605322</v>
      </c>
      <c r="B19" s="11">
        <v>41340.09684027778</v>
      </c>
      <c r="C19" s="10" t="s">
        <v>165</v>
      </c>
      <c r="D19" s="10" t="s">
        <v>35</v>
      </c>
      <c r="E19" s="10" t="s">
        <v>166</v>
      </c>
      <c r="F19" s="10" t="s">
        <v>131</v>
      </c>
      <c r="G19" s="10">
        <v>5127919111</v>
      </c>
      <c r="H19" s="10">
        <v>29</v>
      </c>
      <c r="I19" s="10" t="s">
        <v>167</v>
      </c>
      <c r="J19" s="10" t="s">
        <v>197</v>
      </c>
      <c r="K19" s="10" t="s">
        <v>134</v>
      </c>
      <c r="L19" s="10" t="s">
        <v>149</v>
      </c>
      <c r="M19" s="10" t="s">
        <v>163</v>
      </c>
      <c r="N19" s="10">
        <v>20</v>
      </c>
      <c r="O19" s="10">
        <v>0.95</v>
      </c>
      <c r="P19" s="10" t="s">
        <v>5</v>
      </c>
      <c r="Q19" s="10" t="s">
        <v>212</v>
      </c>
      <c r="R19" s="10">
        <v>1708</v>
      </c>
      <c r="S19" s="10" t="s">
        <v>138</v>
      </c>
      <c r="T19" s="10">
        <v>0</v>
      </c>
    </row>
    <row r="20" spans="1:20" s="10" customFormat="1" x14ac:dyDescent="0.25">
      <c r="A20" s="10">
        <v>65605321</v>
      </c>
      <c r="B20" s="11">
        <v>41340.096712962964</v>
      </c>
      <c r="C20" s="10" t="s">
        <v>200</v>
      </c>
      <c r="D20" s="10" t="s">
        <v>49</v>
      </c>
      <c r="E20" s="10" t="s">
        <v>201</v>
      </c>
      <c r="F20" s="10" t="s">
        <v>131</v>
      </c>
      <c r="G20" s="10">
        <v>7708266754</v>
      </c>
      <c r="H20" s="10">
        <v>26</v>
      </c>
      <c r="I20" s="10" t="s">
        <v>202</v>
      </c>
      <c r="J20" s="10" t="s">
        <v>213</v>
      </c>
      <c r="K20" s="10" t="s">
        <v>134</v>
      </c>
      <c r="L20" s="10" t="s">
        <v>149</v>
      </c>
      <c r="M20" s="10" t="s">
        <v>214</v>
      </c>
      <c r="N20" s="10">
        <v>102</v>
      </c>
      <c r="O20" s="10">
        <v>0.95</v>
      </c>
      <c r="P20" s="10" t="s">
        <v>5</v>
      </c>
      <c r="Q20" s="10" t="s">
        <v>215</v>
      </c>
      <c r="R20" s="10">
        <v>1707</v>
      </c>
      <c r="S20" s="10" t="s">
        <v>138</v>
      </c>
      <c r="T20" s="10">
        <v>0</v>
      </c>
    </row>
    <row r="21" spans="1:20" s="10" customFormat="1" x14ac:dyDescent="0.25">
      <c r="A21" s="10">
        <v>65605315</v>
      </c>
      <c r="B21" s="11">
        <v>41340.095324074071</v>
      </c>
      <c r="C21" s="10" t="s">
        <v>200</v>
      </c>
      <c r="D21" s="10" t="s">
        <v>49</v>
      </c>
      <c r="E21" s="10" t="s">
        <v>201</v>
      </c>
      <c r="F21" s="10" t="s">
        <v>131</v>
      </c>
      <c r="G21" s="10">
        <v>7708266754</v>
      </c>
      <c r="H21" s="10">
        <v>26</v>
      </c>
      <c r="I21" s="10" t="s">
        <v>202</v>
      </c>
      <c r="J21" s="10" t="s">
        <v>213</v>
      </c>
      <c r="K21" s="10" t="s">
        <v>134</v>
      </c>
      <c r="L21" s="10" t="s">
        <v>149</v>
      </c>
      <c r="M21" s="10" t="s">
        <v>214</v>
      </c>
      <c r="N21" s="10">
        <v>102</v>
      </c>
      <c r="O21" s="10">
        <v>0.95</v>
      </c>
      <c r="P21" s="10" t="s">
        <v>5</v>
      </c>
      <c r="Q21" s="10" t="s">
        <v>216</v>
      </c>
      <c r="R21" s="10">
        <v>1704</v>
      </c>
      <c r="S21" s="10" t="s">
        <v>138</v>
      </c>
      <c r="T21" s="10">
        <v>0</v>
      </c>
    </row>
    <row r="22" spans="1:20" s="10" customFormat="1" x14ac:dyDescent="0.25">
      <c r="A22" s="10">
        <v>65604772</v>
      </c>
      <c r="B22" s="11">
        <v>41339.960173611114</v>
      </c>
      <c r="C22" s="10" t="s">
        <v>217</v>
      </c>
      <c r="D22" s="10" t="s">
        <v>53</v>
      </c>
      <c r="E22" s="10" t="s">
        <v>218</v>
      </c>
      <c r="F22" s="10" t="s">
        <v>131</v>
      </c>
      <c r="G22" s="10">
        <v>6036229799</v>
      </c>
      <c r="H22" s="10">
        <v>60</v>
      </c>
      <c r="I22" s="10" t="s">
        <v>219</v>
      </c>
      <c r="J22" s="10" t="s">
        <v>220</v>
      </c>
      <c r="K22" s="10" t="s">
        <v>134</v>
      </c>
      <c r="L22" s="10" t="s">
        <v>135</v>
      </c>
      <c r="M22" s="10" t="s">
        <v>221</v>
      </c>
      <c r="N22" s="10">
        <v>250</v>
      </c>
      <c r="O22" s="10">
        <v>0.95</v>
      </c>
      <c r="P22" s="10" t="s">
        <v>5</v>
      </c>
      <c r="Q22" s="10" t="s">
        <v>222</v>
      </c>
      <c r="R22" s="10">
        <v>1702</v>
      </c>
      <c r="S22" s="10" t="s">
        <v>138</v>
      </c>
      <c r="T22" s="10">
        <v>0</v>
      </c>
    </row>
    <row r="23" spans="1:20" s="10" customFormat="1" x14ac:dyDescent="0.25">
      <c r="A23" s="10">
        <v>65604722</v>
      </c>
      <c r="B23" s="11">
        <v>41339.944525462961</v>
      </c>
      <c r="C23" s="10" t="s">
        <v>223</v>
      </c>
      <c r="D23" s="10" t="s">
        <v>55</v>
      </c>
      <c r="E23" s="10" t="s">
        <v>224</v>
      </c>
      <c r="F23" s="10" t="s">
        <v>131</v>
      </c>
      <c r="G23" s="10">
        <v>9083397282</v>
      </c>
      <c r="H23" s="10">
        <v>26</v>
      </c>
      <c r="I23" s="10" t="s">
        <v>225</v>
      </c>
      <c r="J23" s="10" t="s">
        <v>226</v>
      </c>
      <c r="K23" s="10" t="s">
        <v>134</v>
      </c>
      <c r="L23" s="10" t="s">
        <v>149</v>
      </c>
      <c r="M23" s="10" t="s">
        <v>227</v>
      </c>
      <c r="N23" s="10">
        <v>250</v>
      </c>
      <c r="O23" s="10">
        <v>0.95</v>
      </c>
      <c r="P23" s="10" t="s">
        <v>5</v>
      </c>
      <c r="Q23" s="10" t="s">
        <v>228</v>
      </c>
      <c r="R23" s="10">
        <v>1700</v>
      </c>
      <c r="S23" s="10" t="s">
        <v>138</v>
      </c>
      <c r="T23" s="10">
        <v>0</v>
      </c>
    </row>
    <row r="24" spans="1:20" s="10" customFormat="1" x14ac:dyDescent="0.25">
      <c r="A24" s="10">
        <v>65604418</v>
      </c>
      <c r="B24" s="11">
        <v>41339.830891203703</v>
      </c>
      <c r="C24" s="10" t="s">
        <v>229</v>
      </c>
      <c r="D24" s="10" t="s">
        <v>57</v>
      </c>
      <c r="E24" s="10" t="s">
        <v>230</v>
      </c>
      <c r="F24" s="10" t="s">
        <v>131</v>
      </c>
      <c r="G24" s="10">
        <v>7033385286</v>
      </c>
      <c r="H24" s="10">
        <v>27</v>
      </c>
      <c r="I24" s="10" t="s">
        <v>231</v>
      </c>
      <c r="J24" s="10" t="s">
        <v>232</v>
      </c>
      <c r="K24" s="10" t="s">
        <v>134</v>
      </c>
      <c r="L24" s="10" t="s">
        <v>135</v>
      </c>
      <c r="M24" s="10" t="s">
        <v>233</v>
      </c>
      <c r="N24" s="10">
        <v>60</v>
      </c>
      <c r="O24" s="10">
        <v>0.95</v>
      </c>
      <c r="P24" s="10" t="s">
        <v>5</v>
      </c>
      <c r="Q24" s="10" t="s">
        <v>234</v>
      </c>
      <c r="R24" s="10">
        <v>1698</v>
      </c>
      <c r="S24" s="10" t="s">
        <v>138</v>
      </c>
      <c r="T24" s="10">
        <v>0</v>
      </c>
    </row>
    <row r="25" spans="1:20" s="10" customFormat="1" x14ac:dyDescent="0.25">
      <c r="A25" s="10">
        <v>65603335</v>
      </c>
      <c r="B25" s="11">
        <v>41339.083287037036</v>
      </c>
      <c r="C25" s="10" t="s">
        <v>145</v>
      </c>
      <c r="D25" s="10" t="s">
        <v>29</v>
      </c>
      <c r="E25" s="10" t="s">
        <v>146</v>
      </c>
      <c r="F25" s="10" t="s">
        <v>131</v>
      </c>
      <c r="G25" s="10">
        <v>8643183447</v>
      </c>
      <c r="H25" s="10">
        <v>47</v>
      </c>
      <c r="I25" s="10" t="s">
        <v>235</v>
      </c>
      <c r="J25" s="10" t="s">
        <v>148</v>
      </c>
      <c r="K25" s="10" t="s">
        <v>134</v>
      </c>
      <c r="L25" s="10" t="s">
        <v>149</v>
      </c>
      <c r="M25" s="10" t="s">
        <v>150</v>
      </c>
      <c r="N25" s="10">
        <v>75</v>
      </c>
      <c r="O25" s="10">
        <v>0.95</v>
      </c>
      <c r="P25" s="10" t="s">
        <v>5</v>
      </c>
      <c r="Q25" s="10" t="s">
        <v>236</v>
      </c>
      <c r="R25" s="10">
        <v>1687</v>
      </c>
      <c r="S25" s="10" t="s">
        <v>138</v>
      </c>
      <c r="T25" s="10">
        <v>0</v>
      </c>
    </row>
    <row r="26" spans="1:20" s="10" customFormat="1" x14ac:dyDescent="0.25">
      <c r="A26" s="10">
        <v>65603328</v>
      </c>
      <c r="B26" s="11">
        <v>41339.078935185185</v>
      </c>
      <c r="C26" s="10" t="s">
        <v>237</v>
      </c>
      <c r="D26" s="10" t="s">
        <v>59</v>
      </c>
      <c r="E26" s="10" t="s">
        <v>238</v>
      </c>
      <c r="F26" s="10" t="s">
        <v>131</v>
      </c>
      <c r="G26" s="10">
        <v>3478211489</v>
      </c>
      <c r="H26" s="10">
        <v>34</v>
      </c>
      <c r="I26" s="10" t="s">
        <v>239</v>
      </c>
      <c r="J26" s="10" t="s">
        <v>240</v>
      </c>
      <c r="K26" s="10" t="s">
        <v>134</v>
      </c>
      <c r="L26" s="10" t="s">
        <v>135</v>
      </c>
      <c r="M26" s="10" t="s">
        <v>241</v>
      </c>
      <c r="N26" s="10">
        <v>50</v>
      </c>
      <c r="O26" s="10">
        <v>0.95</v>
      </c>
      <c r="P26" s="10" t="s">
        <v>5</v>
      </c>
      <c r="Q26" s="10" t="s">
        <v>242</v>
      </c>
      <c r="R26" s="10">
        <v>1685</v>
      </c>
      <c r="S26" s="10" t="s">
        <v>138</v>
      </c>
      <c r="T26" s="10">
        <v>0</v>
      </c>
    </row>
    <row r="27" spans="1:20" s="10" customFormat="1" x14ac:dyDescent="0.25">
      <c r="A27" s="10">
        <v>65601612</v>
      </c>
      <c r="B27" s="11">
        <v>41338.128587962965</v>
      </c>
      <c r="C27" s="10" t="s">
        <v>243</v>
      </c>
      <c r="D27" s="10" t="s">
        <v>61</v>
      </c>
      <c r="E27" s="10" t="s">
        <v>244</v>
      </c>
      <c r="F27" s="10" t="s">
        <v>131</v>
      </c>
      <c r="G27" s="10">
        <v>6122094867</v>
      </c>
      <c r="H27" s="10">
        <v>36</v>
      </c>
      <c r="I27" s="10" t="s">
        <v>245</v>
      </c>
      <c r="J27" s="10" t="s">
        <v>246</v>
      </c>
      <c r="K27" s="10" t="s">
        <v>134</v>
      </c>
      <c r="L27" s="10" t="s">
        <v>149</v>
      </c>
      <c r="M27" s="10" t="s">
        <v>163</v>
      </c>
      <c r="N27" s="10">
        <v>50</v>
      </c>
      <c r="O27" s="10">
        <v>0.95</v>
      </c>
      <c r="P27" s="10" t="s">
        <v>5</v>
      </c>
      <c r="Q27" s="10" t="s">
        <v>247</v>
      </c>
      <c r="R27" s="10">
        <v>1662</v>
      </c>
      <c r="S27" s="10" t="s">
        <v>138</v>
      </c>
      <c r="T27" s="10">
        <v>0</v>
      </c>
    </row>
    <row r="28" spans="1:20" s="10" customFormat="1" x14ac:dyDescent="0.25">
      <c r="A28" s="10">
        <v>65600767</v>
      </c>
      <c r="B28" s="11">
        <v>41337.790185185186</v>
      </c>
      <c r="C28" s="10" t="s">
        <v>206</v>
      </c>
      <c r="D28" s="10" t="s">
        <v>51</v>
      </c>
      <c r="E28" s="10" t="s">
        <v>153</v>
      </c>
      <c r="F28" s="10" t="s">
        <v>131</v>
      </c>
      <c r="G28" s="10">
        <v>3363923761</v>
      </c>
      <c r="H28" s="10">
        <v>58</v>
      </c>
      <c r="I28" s="10" t="s">
        <v>207</v>
      </c>
      <c r="J28" s="10" t="s">
        <v>208</v>
      </c>
      <c r="K28" s="10" t="s">
        <v>134</v>
      </c>
      <c r="L28" s="10" t="s">
        <v>149</v>
      </c>
      <c r="M28" s="10" t="s">
        <v>209</v>
      </c>
      <c r="N28" s="10">
        <v>48</v>
      </c>
      <c r="O28" s="10">
        <v>0.95</v>
      </c>
      <c r="P28" s="10" t="s">
        <v>5</v>
      </c>
      <c r="Q28" s="10" t="s">
        <v>248</v>
      </c>
      <c r="R28" s="10">
        <v>1658</v>
      </c>
      <c r="S28" s="10" t="s">
        <v>138</v>
      </c>
      <c r="T28" s="10">
        <v>0</v>
      </c>
    </row>
    <row r="29" spans="1:20" s="10" customFormat="1" x14ac:dyDescent="0.25">
      <c r="B29" s="11"/>
    </row>
    <row r="30" spans="1:20" s="10" customFormat="1" x14ac:dyDescent="0.25">
      <c r="B3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"/>
  <sheetViews>
    <sheetView workbookViewId="0">
      <selection activeCell="F1" sqref="F1"/>
    </sheetView>
  </sheetViews>
  <sheetFormatPr defaultRowHeight="15" x14ac:dyDescent="0.25"/>
  <sheetData>
    <row r="1" spans="1:27" x14ac:dyDescent="0.25">
      <c r="A1" s="15" t="s">
        <v>22</v>
      </c>
      <c r="B1" s="15" t="s">
        <v>249</v>
      </c>
      <c r="C1" s="15" t="s">
        <v>250</v>
      </c>
      <c r="D1" s="15" t="s">
        <v>18</v>
      </c>
      <c r="E1" s="15" t="s">
        <v>251</v>
      </c>
      <c r="F1" s="16">
        <v>99.91</v>
      </c>
      <c r="G1" s="15" t="s">
        <v>252</v>
      </c>
      <c r="H1" s="17" t="s">
        <v>253</v>
      </c>
      <c r="I1" s="17" t="s">
        <v>254</v>
      </c>
      <c r="J1" s="17" t="s">
        <v>255</v>
      </c>
      <c r="K1" s="15" t="s">
        <v>149</v>
      </c>
      <c r="L1" s="15" t="s">
        <v>256</v>
      </c>
      <c r="M1" s="15" t="s">
        <v>257</v>
      </c>
      <c r="N1" s="15" t="s">
        <v>258</v>
      </c>
      <c r="O1" s="15" t="s">
        <v>259</v>
      </c>
      <c r="P1" s="15" t="s">
        <v>260</v>
      </c>
      <c r="Q1" s="15" t="s">
        <v>153</v>
      </c>
      <c r="R1" s="15" t="s">
        <v>261</v>
      </c>
      <c r="S1" s="15" t="s">
        <v>262</v>
      </c>
      <c r="T1" s="15" t="s">
        <v>263</v>
      </c>
      <c r="U1" s="15" t="s">
        <v>264</v>
      </c>
      <c r="V1" s="15" t="s">
        <v>265</v>
      </c>
      <c r="W1" s="15" t="s">
        <v>266</v>
      </c>
      <c r="X1" s="15" t="s">
        <v>249</v>
      </c>
      <c r="Y1" s="15" t="s">
        <v>14</v>
      </c>
      <c r="Z1" s="15" t="s">
        <v>267</v>
      </c>
      <c r="AA1" s="15" t="s">
        <v>268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Views>
    <sheetView workbookViewId="0">
      <selection activeCell="F1" sqref="F1:F3"/>
    </sheetView>
  </sheetViews>
  <sheetFormatPr defaultRowHeight="15" x14ac:dyDescent="0.25"/>
  <sheetData>
    <row r="1" spans="1:27" s="10" customFormat="1" x14ac:dyDescent="0.25">
      <c r="A1" s="18" t="s">
        <v>17</v>
      </c>
      <c r="B1" s="18" t="s">
        <v>269</v>
      </c>
      <c r="C1" s="18" t="s">
        <v>270</v>
      </c>
      <c r="D1" s="18" t="s">
        <v>18</v>
      </c>
      <c r="E1" s="18" t="s">
        <v>271</v>
      </c>
      <c r="F1" s="19">
        <v>49.91</v>
      </c>
      <c r="G1" s="18" t="s">
        <v>272</v>
      </c>
      <c r="H1" s="20" t="s">
        <v>273</v>
      </c>
      <c r="I1" s="20" t="s">
        <v>274</v>
      </c>
      <c r="J1" s="20" t="s">
        <v>275</v>
      </c>
      <c r="K1" s="18" t="s">
        <v>149</v>
      </c>
      <c r="L1" s="18" t="s">
        <v>276</v>
      </c>
      <c r="M1" s="18" t="s">
        <v>257</v>
      </c>
      <c r="N1" s="18" t="s">
        <v>258</v>
      </c>
      <c r="O1" s="18" t="s">
        <v>259</v>
      </c>
      <c r="P1" s="18" t="s">
        <v>260</v>
      </c>
      <c r="Q1" s="18" t="s">
        <v>153</v>
      </c>
      <c r="R1" s="18" t="s">
        <v>261</v>
      </c>
      <c r="S1" s="18" t="s">
        <v>262</v>
      </c>
      <c r="T1" s="18" t="s">
        <v>277</v>
      </c>
      <c r="U1" s="18" t="s">
        <v>278</v>
      </c>
      <c r="V1" s="18" t="s">
        <v>279</v>
      </c>
      <c r="W1" s="18" t="s">
        <v>280</v>
      </c>
      <c r="X1" s="18" t="s">
        <v>269</v>
      </c>
      <c r="Y1" s="18" t="s">
        <v>14</v>
      </c>
      <c r="Z1" s="18" t="s">
        <v>281</v>
      </c>
      <c r="AA1" s="18" t="s">
        <v>268</v>
      </c>
    </row>
    <row r="2" spans="1:27" s="10" customFormat="1" x14ac:dyDescent="0.25">
      <c r="A2" s="18" t="s">
        <v>36</v>
      </c>
      <c r="B2" s="18" t="s">
        <v>282</v>
      </c>
      <c r="C2" s="18" t="s">
        <v>283</v>
      </c>
      <c r="D2" s="18" t="s">
        <v>18</v>
      </c>
      <c r="E2" s="18" t="s">
        <v>271</v>
      </c>
      <c r="F2" s="19">
        <v>49.95</v>
      </c>
      <c r="G2" s="18" t="s">
        <v>272</v>
      </c>
      <c r="H2" s="20" t="s">
        <v>284</v>
      </c>
      <c r="I2" s="20" t="s">
        <v>285</v>
      </c>
      <c r="J2" s="20" t="s">
        <v>286</v>
      </c>
      <c r="K2" s="18" t="s">
        <v>149</v>
      </c>
      <c r="L2" s="18" t="s">
        <v>276</v>
      </c>
      <c r="M2" s="18" t="s">
        <v>257</v>
      </c>
      <c r="N2" s="18" t="s">
        <v>258</v>
      </c>
      <c r="O2" s="18" t="s">
        <v>259</v>
      </c>
      <c r="P2" s="18" t="s">
        <v>260</v>
      </c>
      <c r="Q2" s="18" t="s">
        <v>153</v>
      </c>
      <c r="R2" s="18" t="s">
        <v>261</v>
      </c>
      <c r="S2" s="18" t="s">
        <v>262</v>
      </c>
      <c r="T2" s="18" t="s">
        <v>277</v>
      </c>
      <c r="U2" s="18" t="s">
        <v>278</v>
      </c>
      <c r="V2" s="18" t="s">
        <v>279</v>
      </c>
      <c r="W2" s="18" t="s">
        <v>280</v>
      </c>
      <c r="X2" s="18" t="s">
        <v>282</v>
      </c>
      <c r="Y2" s="18" t="s">
        <v>14</v>
      </c>
      <c r="Z2" s="18" t="s">
        <v>281</v>
      </c>
      <c r="AA2" s="18" t="s">
        <v>268</v>
      </c>
    </row>
    <row r="3" spans="1:27" s="10" customFormat="1" x14ac:dyDescent="0.25">
      <c r="A3" s="18" t="s">
        <v>47</v>
      </c>
      <c r="B3" s="18" t="s">
        <v>287</v>
      </c>
      <c r="C3" s="18" t="s">
        <v>288</v>
      </c>
      <c r="D3" s="18" t="s">
        <v>18</v>
      </c>
      <c r="E3" s="18" t="s">
        <v>271</v>
      </c>
      <c r="F3" s="19">
        <v>49.96</v>
      </c>
      <c r="G3" s="18" t="s">
        <v>272</v>
      </c>
      <c r="H3" s="20" t="s">
        <v>289</v>
      </c>
      <c r="I3" s="20" t="s">
        <v>290</v>
      </c>
      <c r="J3" s="20" t="s">
        <v>291</v>
      </c>
      <c r="K3" s="18" t="s">
        <v>149</v>
      </c>
      <c r="L3" s="18" t="s">
        <v>292</v>
      </c>
      <c r="M3" s="18" t="s">
        <v>293</v>
      </c>
      <c r="N3" s="18" t="s">
        <v>294</v>
      </c>
      <c r="O3" s="18" t="s">
        <v>295</v>
      </c>
      <c r="P3" s="18" t="s">
        <v>296</v>
      </c>
      <c r="Q3" s="18" t="s">
        <v>297</v>
      </c>
      <c r="R3" s="18" t="s">
        <v>298</v>
      </c>
      <c r="S3" s="18" t="s">
        <v>299</v>
      </c>
      <c r="T3" s="18" t="s">
        <v>277</v>
      </c>
      <c r="U3" s="18" t="s">
        <v>278</v>
      </c>
      <c r="V3" s="18" t="s">
        <v>300</v>
      </c>
      <c r="W3" s="18" t="s">
        <v>266</v>
      </c>
      <c r="X3" s="18" t="s">
        <v>287</v>
      </c>
      <c r="Y3" s="18" t="s">
        <v>46</v>
      </c>
      <c r="Z3" s="18" t="s">
        <v>301</v>
      </c>
      <c r="AA3" s="18" t="s">
        <v>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opLeftCell="A3" workbookViewId="0">
      <selection activeCell="K2" sqref="K2:K33"/>
    </sheetView>
  </sheetViews>
  <sheetFormatPr defaultRowHeight="15" x14ac:dyDescent="0.25"/>
  <sheetData>
    <row r="1" spans="1:13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</row>
    <row r="2" spans="1:13" x14ac:dyDescent="0.25">
      <c r="A2" s="10">
        <v>1798</v>
      </c>
      <c r="B2" s="10">
        <v>3</v>
      </c>
      <c r="C2" s="10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10"/>
      <c r="I2" s="10" t="s">
        <v>18</v>
      </c>
      <c r="J2" s="10" t="s">
        <v>19</v>
      </c>
      <c r="K2" s="10">
        <v>50</v>
      </c>
      <c r="L2" s="10" t="s">
        <v>20</v>
      </c>
      <c r="M2" s="11">
        <v>41342.975925925923</v>
      </c>
    </row>
    <row r="3" spans="1:13" x14ac:dyDescent="0.25">
      <c r="A3" s="10">
        <v>1797</v>
      </c>
      <c r="B3" s="10">
        <v>3</v>
      </c>
      <c r="C3" s="10" t="s">
        <v>13</v>
      </c>
      <c r="D3" s="10" t="s">
        <v>14</v>
      </c>
      <c r="E3" s="10" t="s">
        <v>21</v>
      </c>
      <c r="F3" s="10" t="s">
        <v>16</v>
      </c>
      <c r="G3" s="10" t="s">
        <v>22</v>
      </c>
      <c r="H3" s="10"/>
      <c r="I3" s="10" t="s">
        <v>18</v>
      </c>
      <c r="J3" s="10" t="s">
        <v>19</v>
      </c>
      <c r="K3" s="10">
        <v>100</v>
      </c>
      <c r="L3" s="10" t="s">
        <v>20</v>
      </c>
      <c r="M3" s="11">
        <v>41342.876643518517</v>
      </c>
    </row>
    <row r="4" spans="1:13" x14ac:dyDescent="0.25">
      <c r="A4" s="10">
        <v>1795</v>
      </c>
      <c r="B4" s="10">
        <v>2</v>
      </c>
      <c r="C4" s="10" t="s">
        <v>23</v>
      </c>
      <c r="D4" s="10" t="s">
        <v>24</v>
      </c>
      <c r="E4" s="10" t="s">
        <v>25</v>
      </c>
      <c r="F4" s="10" t="s">
        <v>16</v>
      </c>
      <c r="G4" s="10">
        <v>65587442</v>
      </c>
      <c r="H4" s="10"/>
      <c r="I4" s="10" t="s">
        <v>5</v>
      </c>
      <c r="J4" s="10" t="s">
        <v>19</v>
      </c>
      <c r="K4" s="10">
        <v>110</v>
      </c>
      <c r="L4" s="10" t="s">
        <v>20</v>
      </c>
      <c r="M4" s="11">
        <v>41342.872245370374</v>
      </c>
    </row>
    <row r="5" spans="1:13" x14ac:dyDescent="0.25">
      <c r="A5" s="10">
        <v>1793</v>
      </c>
      <c r="B5" s="10">
        <v>1</v>
      </c>
      <c r="C5" s="10" t="s">
        <v>26</v>
      </c>
      <c r="D5" s="10" t="s">
        <v>27</v>
      </c>
      <c r="E5" s="10" t="s">
        <v>25</v>
      </c>
      <c r="F5" s="10" t="s">
        <v>16</v>
      </c>
      <c r="G5" s="10">
        <v>65587271</v>
      </c>
      <c r="H5" s="10"/>
      <c r="I5" s="10" t="s">
        <v>5</v>
      </c>
      <c r="J5" s="10" t="s">
        <v>19</v>
      </c>
      <c r="K5" s="10">
        <v>20</v>
      </c>
      <c r="L5" s="10" t="s">
        <v>20</v>
      </c>
      <c r="M5" s="11">
        <v>41342.819571759261</v>
      </c>
    </row>
    <row r="6" spans="1:13" x14ac:dyDescent="0.25">
      <c r="A6" s="10">
        <v>1791</v>
      </c>
      <c r="B6" s="10">
        <v>2</v>
      </c>
      <c r="C6" s="10" t="s">
        <v>28</v>
      </c>
      <c r="D6" s="10" t="s">
        <v>29</v>
      </c>
      <c r="E6" s="10" t="s">
        <v>25</v>
      </c>
      <c r="F6" s="10" t="s">
        <v>16</v>
      </c>
      <c r="G6" s="10">
        <v>65587154</v>
      </c>
      <c r="H6" s="10"/>
      <c r="I6" s="10" t="s">
        <v>5</v>
      </c>
      <c r="J6" s="10" t="s">
        <v>19</v>
      </c>
      <c r="K6" s="10">
        <v>25</v>
      </c>
      <c r="L6" s="10" t="s">
        <v>20</v>
      </c>
      <c r="M6" s="11">
        <v>41342.785613425927</v>
      </c>
    </row>
    <row r="7" spans="1:13" x14ac:dyDescent="0.25">
      <c r="A7" s="10">
        <v>1789</v>
      </c>
      <c r="B7" s="10">
        <v>2</v>
      </c>
      <c r="C7" s="10" t="s">
        <v>30</v>
      </c>
      <c r="D7" s="10" t="s">
        <v>31</v>
      </c>
      <c r="E7" s="10" t="s">
        <v>25</v>
      </c>
      <c r="F7" s="10" t="s">
        <v>16</v>
      </c>
      <c r="G7" s="10">
        <v>65586878</v>
      </c>
      <c r="H7" s="10"/>
      <c r="I7" s="10" t="s">
        <v>5</v>
      </c>
      <c r="J7" s="10" t="s">
        <v>19</v>
      </c>
      <c r="K7" s="10">
        <v>50</v>
      </c>
      <c r="L7" s="10" t="s">
        <v>20</v>
      </c>
      <c r="M7" s="11">
        <v>41342.710277777776</v>
      </c>
    </row>
    <row r="8" spans="1:13" x14ac:dyDescent="0.25">
      <c r="A8" s="10">
        <v>1787</v>
      </c>
      <c r="B8" s="10">
        <v>2</v>
      </c>
      <c r="C8" s="10" t="s">
        <v>28</v>
      </c>
      <c r="D8" s="10" t="s">
        <v>29</v>
      </c>
      <c r="E8" s="10" t="s">
        <v>25</v>
      </c>
      <c r="F8" s="10" t="s">
        <v>16</v>
      </c>
      <c r="G8" s="10">
        <v>65586855</v>
      </c>
      <c r="H8" s="10"/>
      <c r="I8" s="10" t="s">
        <v>5</v>
      </c>
      <c r="J8" s="10" t="s">
        <v>19</v>
      </c>
      <c r="K8" s="10">
        <v>100</v>
      </c>
      <c r="L8" s="10" t="s">
        <v>20</v>
      </c>
      <c r="M8" s="11">
        <v>41342.703599537039</v>
      </c>
    </row>
    <row r="9" spans="1:13" x14ac:dyDescent="0.25">
      <c r="A9" s="10">
        <v>1785</v>
      </c>
      <c r="B9" s="10">
        <v>1</v>
      </c>
      <c r="C9" s="10" t="s">
        <v>32</v>
      </c>
      <c r="D9" s="10" t="s">
        <v>33</v>
      </c>
      <c r="E9" s="10" t="s">
        <v>25</v>
      </c>
      <c r="F9" s="10" t="s">
        <v>16</v>
      </c>
      <c r="G9" s="10">
        <v>65586751</v>
      </c>
      <c r="H9" s="10"/>
      <c r="I9" s="10" t="s">
        <v>5</v>
      </c>
      <c r="J9" s="10" t="s">
        <v>19</v>
      </c>
      <c r="K9" s="10">
        <v>200</v>
      </c>
      <c r="L9" s="10" t="s">
        <v>20</v>
      </c>
      <c r="M9" s="11">
        <v>41342.675787037035</v>
      </c>
    </row>
    <row r="10" spans="1:13" x14ac:dyDescent="0.25">
      <c r="A10" s="10">
        <v>1783</v>
      </c>
      <c r="B10" s="10">
        <v>2</v>
      </c>
      <c r="C10" s="10" t="s">
        <v>34</v>
      </c>
      <c r="D10" s="10" t="s">
        <v>35</v>
      </c>
      <c r="E10" s="10" t="s">
        <v>25</v>
      </c>
      <c r="F10" s="10" t="s">
        <v>16</v>
      </c>
      <c r="G10" s="10">
        <v>65586504</v>
      </c>
      <c r="H10" s="10"/>
      <c r="I10" s="10" t="s">
        <v>5</v>
      </c>
      <c r="J10" s="10" t="s">
        <v>19</v>
      </c>
      <c r="K10" s="10">
        <v>20</v>
      </c>
      <c r="L10" s="10" t="s">
        <v>20</v>
      </c>
      <c r="M10" s="11">
        <v>41342.590821759259</v>
      </c>
    </row>
    <row r="11" spans="1:13" x14ac:dyDescent="0.25">
      <c r="A11" s="10">
        <v>1781</v>
      </c>
      <c r="B11" s="10">
        <v>2</v>
      </c>
      <c r="C11" s="10" t="s">
        <v>28</v>
      </c>
      <c r="D11" s="10" t="s">
        <v>29</v>
      </c>
      <c r="E11" s="10" t="s">
        <v>25</v>
      </c>
      <c r="F11" s="10" t="s">
        <v>16</v>
      </c>
      <c r="G11" s="10">
        <v>65586142</v>
      </c>
      <c r="H11" s="10"/>
      <c r="I11" s="10" t="s">
        <v>5</v>
      </c>
      <c r="J11" s="10" t="s">
        <v>19</v>
      </c>
      <c r="K11" s="10">
        <v>125</v>
      </c>
      <c r="L11" s="10" t="s">
        <v>20</v>
      </c>
      <c r="M11" s="11">
        <v>41342.475497685184</v>
      </c>
    </row>
    <row r="12" spans="1:13" x14ac:dyDescent="0.25">
      <c r="A12" s="10">
        <v>1779</v>
      </c>
      <c r="B12" s="10">
        <v>3</v>
      </c>
      <c r="C12" s="10" t="s">
        <v>13</v>
      </c>
      <c r="D12" s="10" t="s">
        <v>14</v>
      </c>
      <c r="E12" s="10" t="s">
        <v>15</v>
      </c>
      <c r="F12" s="10" t="s">
        <v>16</v>
      </c>
      <c r="G12" s="10" t="s">
        <v>36</v>
      </c>
      <c r="H12" s="10"/>
      <c r="I12" s="10" t="s">
        <v>18</v>
      </c>
      <c r="J12" s="10" t="s">
        <v>19</v>
      </c>
      <c r="K12" s="10">
        <v>50</v>
      </c>
      <c r="L12" s="10" t="s">
        <v>20</v>
      </c>
      <c r="M12" s="11">
        <v>41342.456620370373</v>
      </c>
    </row>
    <row r="13" spans="1:13" x14ac:dyDescent="0.25">
      <c r="A13" s="10">
        <v>1778</v>
      </c>
      <c r="B13" s="10">
        <v>1</v>
      </c>
      <c r="C13" s="10" t="s">
        <v>37</v>
      </c>
      <c r="D13" s="10" t="s">
        <v>38</v>
      </c>
      <c r="E13" s="10" t="s">
        <v>25</v>
      </c>
      <c r="F13" s="10" t="s">
        <v>16</v>
      </c>
      <c r="G13" s="10">
        <v>65586056</v>
      </c>
      <c r="H13" s="10"/>
      <c r="I13" s="10" t="s">
        <v>5</v>
      </c>
      <c r="J13" s="10" t="s">
        <v>19</v>
      </c>
      <c r="K13" s="10">
        <v>100</v>
      </c>
      <c r="L13" s="10" t="s">
        <v>20</v>
      </c>
      <c r="M13" s="11">
        <v>41342.448877314811</v>
      </c>
    </row>
    <row r="14" spans="1:13" x14ac:dyDescent="0.25">
      <c r="A14" s="10">
        <v>1776</v>
      </c>
      <c r="B14" s="10">
        <v>1</v>
      </c>
      <c r="C14" s="10" t="s">
        <v>39</v>
      </c>
      <c r="D14" s="10" t="s">
        <v>40</v>
      </c>
      <c r="E14" s="10" t="s">
        <v>25</v>
      </c>
      <c r="F14" s="10" t="s">
        <v>16</v>
      </c>
      <c r="G14" s="10">
        <v>65585986</v>
      </c>
      <c r="H14" s="10"/>
      <c r="I14" s="10" t="s">
        <v>5</v>
      </c>
      <c r="J14" s="10" t="s">
        <v>19</v>
      </c>
      <c r="K14" s="10">
        <v>250</v>
      </c>
      <c r="L14" s="10" t="s">
        <v>20</v>
      </c>
      <c r="M14" s="11">
        <v>41342.417314814818</v>
      </c>
    </row>
    <row r="15" spans="1:13" x14ac:dyDescent="0.25">
      <c r="A15" s="10">
        <v>1774</v>
      </c>
      <c r="B15" s="10">
        <v>1</v>
      </c>
      <c r="C15" s="10" t="s">
        <v>41</v>
      </c>
      <c r="D15" s="10" t="s">
        <v>42</v>
      </c>
      <c r="E15" s="10" t="s">
        <v>25</v>
      </c>
      <c r="F15" s="10" t="s">
        <v>16</v>
      </c>
      <c r="G15" s="10">
        <v>65585947</v>
      </c>
      <c r="H15" s="10"/>
      <c r="I15" s="10" t="s">
        <v>5</v>
      </c>
      <c r="J15" s="10" t="s">
        <v>19</v>
      </c>
      <c r="K15" s="10">
        <v>100</v>
      </c>
      <c r="L15" s="10" t="s">
        <v>20</v>
      </c>
      <c r="M15" s="11">
        <v>41342.388414351852</v>
      </c>
    </row>
    <row r="16" spans="1:13" x14ac:dyDescent="0.25">
      <c r="A16" s="10">
        <v>1772</v>
      </c>
      <c r="B16" s="10">
        <v>2</v>
      </c>
      <c r="C16" s="10" t="s">
        <v>34</v>
      </c>
      <c r="D16" s="10" t="s">
        <v>35</v>
      </c>
      <c r="E16" s="10" t="s">
        <v>25</v>
      </c>
      <c r="F16" s="10" t="s">
        <v>16</v>
      </c>
      <c r="G16" s="10">
        <v>65585863</v>
      </c>
      <c r="H16" s="10"/>
      <c r="I16" s="10" t="s">
        <v>5</v>
      </c>
      <c r="J16" s="10" t="s">
        <v>19</v>
      </c>
      <c r="K16" s="10">
        <v>20</v>
      </c>
      <c r="L16" s="10" t="s">
        <v>20</v>
      </c>
      <c r="M16" s="11">
        <v>41342.321689814817</v>
      </c>
    </row>
    <row r="17" spans="1:13" x14ac:dyDescent="0.25">
      <c r="A17" s="10">
        <v>1753</v>
      </c>
      <c r="B17" s="10">
        <v>1</v>
      </c>
      <c r="C17" s="10" t="s">
        <v>43</v>
      </c>
      <c r="D17" s="10" t="s">
        <v>44</v>
      </c>
      <c r="E17" s="10" t="s">
        <v>25</v>
      </c>
      <c r="F17" s="10" t="s">
        <v>16</v>
      </c>
      <c r="G17" s="10">
        <v>65585092</v>
      </c>
      <c r="H17" s="10"/>
      <c r="I17" s="10" t="s">
        <v>5</v>
      </c>
      <c r="J17" s="10" t="s">
        <v>19</v>
      </c>
      <c r="K17" s="10">
        <v>250</v>
      </c>
      <c r="L17" s="10" t="s">
        <v>20</v>
      </c>
      <c r="M17" s="11">
        <v>41341.905752314815</v>
      </c>
    </row>
    <row r="18" spans="1:13" x14ac:dyDescent="0.25">
      <c r="A18" s="10">
        <v>1751</v>
      </c>
      <c r="B18" s="10">
        <v>2</v>
      </c>
      <c r="C18" s="10" t="s">
        <v>34</v>
      </c>
      <c r="D18" s="10" t="s">
        <v>35</v>
      </c>
      <c r="E18" s="10" t="s">
        <v>25</v>
      </c>
      <c r="F18" s="10" t="s">
        <v>16</v>
      </c>
      <c r="G18" s="10">
        <v>65584491</v>
      </c>
      <c r="H18" s="10"/>
      <c r="I18" s="10" t="s">
        <v>5</v>
      </c>
      <c r="J18" s="10" t="s">
        <v>19</v>
      </c>
      <c r="K18" s="10">
        <v>40</v>
      </c>
      <c r="L18" s="10" t="s">
        <v>20</v>
      </c>
      <c r="M18" s="11">
        <v>41341.760821759257</v>
      </c>
    </row>
    <row r="19" spans="1:13" x14ac:dyDescent="0.25">
      <c r="A19" s="10">
        <v>1739</v>
      </c>
      <c r="B19" s="10">
        <v>2</v>
      </c>
      <c r="C19" s="10" t="s">
        <v>34</v>
      </c>
      <c r="D19" s="10" t="s">
        <v>35</v>
      </c>
      <c r="E19" s="10" t="s">
        <v>25</v>
      </c>
      <c r="F19" s="10" t="s">
        <v>16</v>
      </c>
      <c r="G19" s="10">
        <v>65582061</v>
      </c>
      <c r="H19" s="10"/>
      <c r="I19" s="10" t="s">
        <v>5</v>
      </c>
      <c r="J19" s="10" t="s">
        <v>19</v>
      </c>
      <c r="K19" s="10">
        <v>31</v>
      </c>
      <c r="L19" s="10" t="s">
        <v>20</v>
      </c>
      <c r="M19" s="11">
        <v>41340.631874999999</v>
      </c>
    </row>
    <row r="20" spans="1:13" x14ac:dyDescent="0.25">
      <c r="A20" s="10">
        <v>1735</v>
      </c>
      <c r="B20" s="10">
        <v>2</v>
      </c>
      <c r="C20" s="10" t="s">
        <v>45</v>
      </c>
      <c r="D20" s="10" t="s">
        <v>46</v>
      </c>
      <c r="E20" s="10" t="s">
        <v>15</v>
      </c>
      <c r="F20" s="10" t="s">
        <v>16</v>
      </c>
      <c r="G20" s="10" t="s">
        <v>47</v>
      </c>
      <c r="H20" s="10"/>
      <c r="I20" s="10" t="s">
        <v>18</v>
      </c>
      <c r="J20" s="10" t="s">
        <v>19</v>
      </c>
      <c r="K20" s="10">
        <v>50</v>
      </c>
      <c r="L20" s="10" t="s">
        <v>20</v>
      </c>
      <c r="M20" s="11">
        <v>41340.611527777779</v>
      </c>
    </row>
    <row r="21" spans="1:13" x14ac:dyDescent="0.25">
      <c r="A21" s="10">
        <v>1729</v>
      </c>
      <c r="B21" s="10">
        <v>2</v>
      </c>
      <c r="C21" s="10" t="s">
        <v>48</v>
      </c>
      <c r="D21" s="10" t="s">
        <v>49</v>
      </c>
      <c r="E21" s="10" t="s">
        <v>25</v>
      </c>
      <c r="F21" s="10" t="s">
        <v>16</v>
      </c>
      <c r="G21" s="10">
        <v>65581882</v>
      </c>
      <c r="H21" s="10"/>
      <c r="I21" s="10" t="s">
        <v>5</v>
      </c>
      <c r="J21" s="10" t="s">
        <v>19</v>
      </c>
      <c r="K21" s="10">
        <v>182</v>
      </c>
      <c r="L21" s="10" t="s">
        <v>20</v>
      </c>
      <c r="M21" s="11">
        <v>41340.552002314813</v>
      </c>
    </row>
    <row r="22" spans="1:13" x14ac:dyDescent="0.25">
      <c r="A22" s="10">
        <v>1727</v>
      </c>
      <c r="B22" s="10">
        <v>1</v>
      </c>
      <c r="C22" s="10" t="s">
        <v>50</v>
      </c>
      <c r="D22" s="10" t="s">
        <v>51</v>
      </c>
      <c r="E22" s="10" t="s">
        <v>25</v>
      </c>
      <c r="F22" s="10" t="s">
        <v>16</v>
      </c>
      <c r="G22" s="10">
        <v>65581809</v>
      </c>
      <c r="H22" s="10"/>
      <c r="I22" s="10" t="s">
        <v>5</v>
      </c>
      <c r="J22" s="10" t="s">
        <v>19</v>
      </c>
      <c r="K22" s="10">
        <v>52.39</v>
      </c>
      <c r="L22" s="10" t="s">
        <v>20</v>
      </c>
      <c r="M22" s="11">
        <v>41340.518958333334</v>
      </c>
    </row>
    <row r="23" spans="1:13" x14ac:dyDescent="0.25">
      <c r="A23" s="10">
        <v>1712</v>
      </c>
      <c r="B23" s="10">
        <v>2</v>
      </c>
      <c r="C23" s="10" t="s">
        <v>34</v>
      </c>
      <c r="D23" s="10" t="s">
        <v>35</v>
      </c>
      <c r="E23" s="10" t="s">
        <v>25</v>
      </c>
      <c r="F23" s="10" t="s">
        <v>16</v>
      </c>
      <c r="G23" s="10">
        <v>65581019</v>
      </c>
      <c r="H23" s="10"/>
      <c r="I23" s="10" t="s">
        <v>5</v>
      </c>
      <c r="J23" s="10" t="s">
        <v>19</v>
      </c>
      <c r="K23" s="10">
        <v>20</v>
      </c>
      <c r="L23" s="10" t="s">
        <v>20</v>
      </c>
      <c r="M23" s="11">
        <v>41339.946435185186</v>
      </c>
    </row>
    <row r="24" spans="1:13" x14ac:dyDescent="0.25">
      <c r="A24" s="10">
        <v>1708</v>
      </c>
      <c r="B24" s="10">
        <v>2</v>
      </c>
      <c r="C24" s="10" t="s">
        <v>34</v>
      </c>
      <c r="D24" s="10" t="s">
        <v>35</v>
      </c>
      <c r="E24" s="10" t="s">
        <v>25</v>
      </c>
      <c r="F24" s="10" t="s">
        <v>16</v>
      </c>
      <c r="G24" s="10">
        <v>65580831</v>
      </c>
      <c r="H24" s="10"/>
      <c r="I24" s="10" t="s">
        <v>5</v>
      </c>
      <c r="J24" s="10" t="s">
        <v>19</v>
      </c>
      <c r="K24" s="10">
        <v>20</v>
      </c>
      <c r="L24" s="10" t="s">
        <v>20</v>
      </c>
      <c r="M24" s="11">
        <v>41339.888518518521</v>
      </c>
    </row>
    <row r="25" spans="1:13" x14ac:dyDescent="0.25">
      <c r="A25" s="10">
        <v>1707</v>
      </c>
      <c r="B25" s="10">
        <v>2</v>
      </c>
      <c r="C25" s="10" t="s">
        <v>48</v>
      </c>
      <c r="D25" s="10" t="s">
        <v>49</v>
      </c>
      <c r="E25" s="10" t="s">
        <v>25</v>
      </c>
      <c r="F25" s="10" t="s">
        <v>16</v>
      </c>
      <c r="G25" s="10">
        <v>65580830</v>
      </c>
      <c r="H25" s="10"/>
      <c r="I25" s="10" t="s">
        <v>5</v>
      </c>
      <c r="J25" s="10" t="s">
        <v>19</v>
      </c>
      <c r="K25" s="10">
        <v>102</v>
      </c>
      <c r="L25" s="10" t="s">
        <v>20</v>
      </c>
      <c r="M25" s="11">
        <v>41339.888402777775</v>
      </c>
    </row>
    <row r="26" spans="1:13" x14ac:dyDescent="0.25">
      <c r="A26" s="10">
        <v>1704</v>
      </c>
      <c r="B26" s="10">
        <v>2</v>
      </c>
      <c r="C26" s="10" t="s">
        <v>48</v>
      </c>
      <c r="D26" s="10" t="s">
        <v>49</v>
      </c>
      <c r="E26" s="10" t="s">
        <v>25</v>
      </c>
      <c r="F26" s="10" t="s">
        <v>16</v>
      </c>
      <c r="G26" s="10">
        <v>65580824</v>
      </c>
      <c r="H26" s="10"/>
      <c r="I26" s="10" t="s">
        <v>5</v>
      </c>
      <c r="J26" s="10" t="s">
        <v>19</v>
      </c>
      <c r="K26" s="10">
        <v>102</v>
      </c>
      <c r="L26" s="10" t="s">
        <v>20</v>
      </c>
      <c r="M26" s="11">
        <v>41339.887002314812</v>
      </c>
    </row>
    <row r="27" spans="1:13" x14ac:dyDescent="0.25">
      <c r="A27" s="10">
        <v>1702</v>
      </c>
      <c r="B27" s="10">
        <v>1</v>
      </c>
      <c r="C27" s="10" t="s">
        <v>52</v>
      </c>
      <c r="D27" s="10" t="s">
        <v>53</v>
      </c>
      <c r="E27" s="10" t="s">
        <v>25</v>
      </c>
      <c r="F27" s="10" t="s">
        <v>16</v>
      </c>
      <c r="G27" s="10">
        <v>65580280</v>
      </c>
      <c r="H27" s="10"/>
      <c r="I27" s="10" t="s">
        <v>5</v>
      </c>
      <c r="J27" s="10" t="s">
        <v>19</v>
      </c>
      <c r="K27" s="10">
        <v>250</v>
      </c>
      <c r="L27" s="10" t="s">
        <v>20</v>
      </c>
      <c r="M27" s="11">
        <v>41339.751851851855</v>
      </c>
    </row>
    <row r="28" spans="1:13" x14ac:dyDescent="0.25">
      <c r="A28" s="10">
        <v>1700</v>
      </c>
      <c r="B28" s="10">
        <v>1</v>
      </c>
      <c r="C28" s="10" t="s">
        <v>54</v>
      </c>
      <c r="D28" s="10" t="s">
        <v>55</v>
      </c>
      <c r="E28" s="10" t="s">
        <v>25</v>
      </c>
      <c r="F28" s="10" t="s">
        <v>16</v>
      </c>
      <c r="G28" s="10">
        <v>65580230</v>
      </c>
      <c r="H28" s="10"/>
      <c r="I28" s="10" t="s">
        <v>5</v>
      </c>
      <c r="J28" s="10" t="s">
        <v>19</v>
      </c>
      <c r="K28" s="10">
        <v>250</v>
      </c>
      <c r="L28" s="10" t="s">
        <v>20</v>
      </c>
      <c r="M28" s="11">
        <v>41339.736203703702</v>
      </c>
    </row>
    <row r="29" spans="1:13" x14ac:dyDescent="0.25">
      <c r="A29" s="10">
        <v>1698</v>
      </c>
      <c r="B29" s="10">
        <v>2</v>
      </c>
      <c r="C29" s="10" t="s">
        <v>56</v>
      </c>
      <c r="D29" s="10" t="s">
        <v>57</v>
      </c>
      <c r="E29" s="10" t="s">
        <v>25</v>
      </c>
      <c r="F29" s="10" t="s">
        <v>16</v>
      </c>
      <c r="G29" s="10">
        <v>65579925</v>
      </c>
      <c r="H29" s="10"/>
      <c r="I29" s="10" t="s">
        <v>5</v>
      </c>
      <c r="J29" s="10" t="s">
        <v>19</v>
      </c>
      <c r="K29" s="10">
        <v>60</v>
      </c>
      <c r="L29" s="10" t="s">
        <v>20</v>
      </c>
      <c r="M29" s="11">
        <v>41339.622569444444</v>
      </c>
    </row>
    <row r="30" spans="1:13" x14ac:dyDescent="0.25">
      <c r="A30" s="10">
        <v>1687</v>
      </c>
      <c r="B30" s="10">
        <v>2</v>
      </c>
      <c r="C30" s="10" t="s">
        <v>28</v>
      </c>
      <c r="D30" s="10" t="s">
        <v>29</v>
      </c>
      <c r="E30" s="10" t="s">
        <v>25</v>
      </c>
      <c r="F30" s="10" t="s">
        <v>16</v>
      </c>
      <c r="G30" s="10">
        <v>65578833</v>
      </c>
      <c r="H30" s="10"/>
      <c r="I30" s="10" t="s">
        <v>5</v>
      </c>
      <c r="J30" s="10" t="s">
        <v>19</v>
      </c>
      <c r="K30" s="10">
        <v>75</v>
      </c>
      <c r="L30" s="10" t="s">
        <v>20</v>
      </c>
      <c r="M30" s="11">
        <v>41338.874965277777</v>
      </c>
    </row>
    <row r="31" spans="1:13" x14ac:dyDescent="0.25">
      <c r="A31" s="10">
        <v>1685</v>
      </c>
      <c r="B31" s="10">
        <v>1</v>
      </c>
      <c r="C31" s="10" t="s">
        <v>58</v>
      </c>
      <c r="D31" s="10" t="s">
        <v>59</v>
      </c>
      <c r="E31" s="10" t="s">
        <v>25</v>
      </c>
      <c r="F31" s="10" t="s">
        <v>16</v>
      </c>
      <c r="G31" s="10">
        <v>65578826</v>
      </c>
      <c r="H31" s="10"/>
      <c r="I31" s="10" t="s">
        <v>5</v>
      </c>
      <c r="J31" s="10" t="s">
        <v>19</v>
      </c>
      <c r="K31" s="10">
        <v>50</v>
      </c>
      <c r="L31" s="10" t="s">
        <v>20</v>
      </c>
      <c r="M31" s="11">
        <v>41338.870613425926</v>
      </c>
    </row>
    <row r="32" spans="1:13" x14ac:dyDescent="0.25">
      <c r="A32" s="10">
        <v>1662</v>
      </c>
      <c r="B32" s="10">
        <v>2</v>
      </c>
      <c r="C32" s="10" t="s">
        <v>60</v>
      </c>
      <c r="D32" s="10" t="s">
        <v>61</v>
      </c>
      <c r="E32" s="10" t="s">
        <v>25</v>
      </c>
      <c r="F32" s="10" t="s">
        <v>16</v>
      </c>
      <c r="G32" s="10">
        <v>65577103</v>
      </c>
      <c r="H32" s="10"/>
      <c r="I32" s="10" t="s">
        <v>5</v>
      </c>
      <c r="J32" s="10" t="s">
        <v>19</v>
      </c>
      <c r="K32" s="10">
        <v>50</v>
      </c>
      <c r="L32" s="10" t="s">
        <v>20</v>
      </c>
      <c r="M32" s="11">
        <v>41337.920266203706</v>
      </c>
    </row>
    <row r="33" spans="1:13" x14ac:dyDescent="0.25">
      <c r="A33" s="10">
        <v>1658</v>
      </c>
      <c r="B33" s="10">
        <v>1</v>
      </c>
      <c r="C33" s="10" t="s">
        <v>50</v>
      </c>
      <c r="D33" s="10" t="s">
        <v>51</v>
      </c>
      <c r="E33" s="10" t="s">
        <v>25</v>
      </c>
      <c r="F33" s="10" t="s">
        <v>16</v>
      </c>
      <c r="G33" s="10">
        <v>65576255</v>
      </c>
      <c r="H33" s="10"/>
      <c r="I33" s="10" t="s">
        <v>5</v>
      </c>
      <c r="J33" s="10" t="s">
        <v>19</v>
      </c>
      <c r="K33" s="10">
        <v>48</v>
      </c>
      <c r="L33" s="10" t="s">
        <v>20</v>
      </c>
      <c r="M33" s="11">
        <v>41337.581863425927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"/>
  <sheetViews>
    <sheetView workbookViewId="0">
      <selection activeCell="K1" sqref="K1:K28"/>
    </sheetView>
  </sheetViews>
  <sheetFormatPr defaultRowHeight="15" x14ac:dyDescent="0.25"/>
  <sheetData>
    <row r="1" spans="1:14" x14ac:dyDescent="0.25">
      <c r="A1" s="12" t="s">
        <v>50</v>
      </c>
      <c r="B1" s="13">
        <v>41337.581863425927</v>
      </c>
      <c r="C1" s="13">
        <v>41337.581863425927</v>
      </c>
      <c r="D1" s="12" t="s">
        <v>72</v>
      </c>
      <c r="E1" s="9"/>
      <c r="F1" s="12" t="s">
        <v>73</v>
      </c>
      <c r="G1" s="12" t="s">
        <v>74</v>
      </c>
      <c r="H1" s="9"/>
      <c r="I1" s="9"/>
      <c r="J1" s="9"/>
      <c r="K1" s="14">
        <v>48</v>
      </c>
      <c r="L1" s="14">
        <v>0</v>
      </c>
      <c r="M1" s="14">
        <v>0</v>
      </c>
      <c r="N1" s="14">
        <v>48</v>
      </c>
    </row>
    <row r="2" spans="1:14" x14ac:dyDescent="0.25">
      <c r="A2" s="12" t="s">
        <v>60</v>
      </c>
      <c r="B2" s="13">
        <v>41337.920266203706</v>
      </c>
      <c r="C2" s="13">
        <v>41337.920266203706</v>
      </c>
      <c r="D2" s="12" t="s">
        <v>72</v>
      </c>
      <c r="E2" s="9"/>
      <c r="F2" s="12" t="s">
        <v>75</v>
      </c>
      <c r="G2" s="12" t="s">
        <v>76</v>
      </c>
      <c r="H2" s="9"/>
      <c r="I2" s="9"/>
      <c r="J2" s="9"/>
      <c r="K2" s="14">
        <v>50</v>
      </c>
      <c r="L2" s="14">
        <v>0</v>
      </c>
      <c r="M2" s="14">
        <v>0</v>
      </c>
      <c r="N2" s="14">
        <v>50</v>
      </c>
    </row>
    <row r="3" spans="1:14" x14ac:dyDescent="0.25">
      <c r="A3" s="12" t="s">
        <v>58</v>
      </c>
      <c r="B3" s="13">
        <v>41338.87060185185</v>
      </c>
      <c r="C3" s="13">
        <v>41338.87060185185</v>
      </c>
      <c r="D3" s="12" t="s">
        <v>72</v>
      </c>
      <c r="E3" s="9"/>
      <c r="F3" s="12" t="s">
        <v>77</v>
      </c>
      <c r="G3" s="12" t="s">
        <v>78</v>
      </c>
      <c r="H3" s="9"/>
      <c r="I3" s="9"/>
      <c r="J3" s="9"/>
      <c r="K3" s="14">
        <v>50</v>
      </c>
      <c r="L3" s="14">
        <v>0</v>
      </c>
      <c r="M3" s="14">
        <v>0</v>
      </c>
      <c r="N3" s="14">
        <v>50</v>
      </c>
    </row>
    <row r="4" spans="1:14" x14ac:dyDescent="0.25">
      <c r="A4" s="12" t="s">
        <v>28</v>
      </c>
      <c r="B4" s="13">
        <v>41338.874965277777</v>
      </c>
      <c r="C4" s="13">
        <v>41338.874965277777</v>
      </c>
      <c r="D4" s="12" t="s">
        <v>72</v>
      </c>
      <c r="E4" s="9"/>
      <c r="F4" s="12" t="s">
        <v>79</v>
      </c>
      <c r="G4" s="12" t="s">
        <v>80</v>
      </c>
      <c r="H4" s="9"/>
      <c r="I4" s="9"/>
      <c r="J4" s="9"/>
      <c r="K4" s="14">
        <v>75</v>
      </c>
      <c r="L4" s="14">
        <v>0</v>
      </c>
      <c r="M4" s="14">
        <v>0</v>
      </c>
      <c r="N4" s="14">
        <v>75</v>
      </c>
    </row>
    <row r="5" spans="1:14" x14ac:dyDescent="0.25">
      <c r="A5" s="12" t="s">
        <v>56</v>
      </c>
      <c r="B5" s="13">
        <v>41339.622569444444</v>
      </c>
      <c r="C5" s="13">
        <v>41339.622569444444</v>
      </c>
      <c r="D5" s="12" t="s">
        <v>72</v>
      </c>
      <c r="E5" s="9"/>
      <c r="F5" s="12" t="s">
        <v>81</v>
      </c>
      <c r="G5" s="12" t="s">
        <v>82</v>
      </c>
      <c r="H5" s="9"/>
      <c r="I5" s="9"/>
      <c r="J5" s="9"/>
      <c r="K5" s="14">
        <v>60</v>
      </c>
      <c r="L5" s="14">
        <v>0</v>
      </c>
      <c r="M5" s="14">
        <v>0</v>
      </c>
      <c r="N5" s="14">
        <v>60</v>
      </c>
    </row>
    <row r="6" spans="1:14" x14ac:dyDescent="0.25">
      <c r="A6" s="12" t="s">
        <v>54</v>
      </c>
      <c r="B6" s="13">
        <v>41339.736192129632</v>
      </c>
      <c r="C6" s="13">
        <v>41339.736192129632</v>
      </c>
      <c r="D6" s="12" t="s">
        <v>72</v>
      </c>
      <c r="E6" s="9"/>
      <c r="F6" s="12" t="s">
        <v>83</v>
      </c>
      <c r="G6" s="12" t="s">
        <v>84</v>
      </c>
      <c r="H6" s="9"/>
      <c r="I6" s="9"/>
      <c r="J6" s="9"/>
      <c r="K6" s="14">
        <v>250</v>
      </c>
      <c r="L6" s="14">
        <v>0</v>
      </c>
      <c r="M6" s="14">
        <v>0</v>
      </c>
      <c r="N6" s="14">
        <v>250</v>
      </c>
    </row>
    <row r="7" spans="1:14" x14ac:dyDescent="0.25">
      <c r="A7" s="12" t="s">
        <v>52</v>
      </c>
      <c r="B7" s="13">
        <v>41339.751840277779</v>
      </c>
      <c r="C7" s="13">
        <v>41339.751840277779</v>
      </c>
      <c r="D7" s="12" t="s">
        <v>72</v>
      </c>
      <c r="E7" s="9"/>
      <c r="F7" s="12" t="s">
        <v>85</v>
      </c>
      <c r="G7" s="12" t="s">
        <v>86</v>
      </c>
      <c r="H7" s="9"/>
      <c r="I7" s="9"/>
      <c r="J7" s="9"/>
      <c r="K7" s="14">
        <v>250</v>
      </c>
      <c r="L7" s="14">
        <v>0</v>
      </c>
      <c r="M7" s="14">
        <v>0</v>
      </c>
      <c r="N7" s="14">
        <v>250</v>
      </c>
    </row>
    <row r="8" spans="1:14" x14ac:dyDescent="0.25">
      <c r="A8" s="12" t="s">
        <v>48</v>
      </c>
      <c r="B8" s="13">
        <v>41339.886990740742</v>
      </c>
      <c r="C8" s="13">
        <v>41339.886990740742</v>
      </c>
      <c r="D8" s="12" t="s">
        <v>72</v>
      </c>
      <c r="E8" s="9"/>
      <c r="F8" s="12" t="s">
        <v>87</v>
      </c>
      <c r="G8" s="12" t="s">
        <v>88</v>
      </c>
      <c r="H8" s="9"/>
      <c r="I8" s="9"/>
      <c r="J8" s="9"/>
      <c r="K8" s="14">
        <v>102</v>
      </c>
      <c r="L8" s="14">
        <v>0</v>
      </c>
      <c r="M8" s="14">
        <v>0</v>
      </c>
      <c r="N8" s="14">
        <v>102</v>
      </c>
    </row>
    <row r="9" spans="1:14" x14ac:dyDescent="0.25">
      <c r="A9" s="12" t="s">
        <v>48</v>
      </c>
      <c r="B9" s="13">
        <v>41339.888391203705</v>
      </c>
      <c r="C9" s="13">
        <v>41339.888391203705</v>
      </c>
      <c r="D9" s="12" t="s">
        <v>72</v>
      </c>
      <c r="E9" s="9"/>
      <c r="F9" s="12" t="s">
        <v>89</v>
      </c>
      <c r="G9" s="12" t="s">
        <v>90</v>
      </c>
      <c r="H9" s="9"/>
      <c r="I9" s="9"/>
      <c r="J9" s="9"/>
      <c r="K9" s="14">
        <v>102</v>
      </c>
      <c r="L9" s="14">
        <v>0</v>
      </c>
      <c r="M9" s="14">
        <v>0</v>
      </c>
      <c r="N9" s="14">
        <v>102</v>
      </c>
    </row>
    <row r="10" spans="1:14" x14ac:dyDescent="0.25">
      <c r="A10" s="12" t="s">
        <v>34</v>
      </c>
      <c r="B10" s="13">
        <v>41339.888518518521</v>
      </c>
      <c r="C10" s="13">
        <v>41339.888518518521</v>
      </c>
      <c r="D10" s="12" t="s">
        <v>72</v>
      </c>
      <c r="E10" s="9"/>
      <c r="F10" s="12" t="s">
        <v>91</v>
      </c>
      <c r="G10" s="12" t="s">
        <v>92</v>
      </c>
      <c r="H10" s="9"/>
      <c r="I10" s="9"/>
      <c r="J10" s="9"/>
      <c r="K10" s="14">
        <v>20</v>
      </c>
      <c r="L10" s="14">
        <v>0</v>
      </c>
      <c r="M10" s="14">
        <v>0</v>
      </c>
      <c r="N10" s="14">
        <v>20</v>
      </c>
    </row>
    <row r="11" spans="1:14" x14ac:dyDescent="0.25">
      <c r="A11" s="12" t="s">
        <v>34</v>
      </c>
      <c r="B11" s="13">
        <v>41339.946423611109</v>
      </c>
      <c r="C11" s="13">
        <v>41339.946423611109</v>
      </c>
      <c r="D11" s="12" t="s">
        <v>72</v>
      </c>
      <c r="E11" s="9"/>
      <c r="F11" s="12" t="s">
        <v>93</v>
      </c>
      <c r="G11" s="12" t="s">
        <v>94</v>
      </c>
      <c r="H11" s="9"/>
      <c r="I11" s="9"/>
      <c r="J11" s="9"/>
      <c r="K11" s="14">
        <v>20</v>
      </c>
      <c r="L11" s="14">
        <v>0</v>
      </c>
      <c r="M11" s="14">
        <v>0</v>
      </c>
      <c r="N11" s="14">
        <v>20</v>
      </c>
    </row>
    <row r="12" spans="1:14" x14ac:dyDescent="0.25">
      <c r="A12" s="12" t="s">
        <v>50</v>
      </c>
      <c r="B12" s="13">
        <v>41340.518958333334</v>
      </c>
      <c r="C12" s="13">
        <v>41340.518958333334</v>
      </c>
      <c r="D12" s="12" t="s">
        <v>72</v>
      </c>
      <c r="E12" s="9"/>
      <c r="F12" s="12" t="s">
        <v>95</v>
      </c>
      <c r="G12" s="12" t="s">
        <v>96</v>
      </c>
      <c r="H12" s="9"/>
      <c r="I12" s="9"/>
      <c r="J12" s="9"/>
      <c r="K12" s="14">
        <v>52.39</v>
      </c>
      <c r="L12" s="14">
        <v>0</v>
      </c>
      <c r="M12" s="14">
        <v>0</v>
      </c>
      <c r="N12" s="14">
        <v>52.39</v>
      </c>
    </row>
    <row r="13" spans="1:14" x14ac:dyDescent="0.25">
      <c r="A13" s="12" t="s">
        <v>48</v>
      </c>
      <c r="B13" s="13">
        <v>41340.552002314813</v>
      </c>
      <c r="C13" s="13">
        <v>41340.552002314813</v>
      </c>
      <c r="D13" s="12" t="s">
        <v>72</v>
      </c>
      <c r="E13" s="9"/>
      <c r="F13" s="12" t="s">
        <v>97</v>
      </c>
      <c r="G13" s="12" t="s">
        <v>98</v>
      </c>
      <c r="H13" s="9"/>
      <c r="I13" s="9"/>
      <c r="J13" s="9"/>
      <c r="K13" s="14">
        <v>182</v>
      </c>
      <c r="L13" s="14">
        <v>0</v>
      </c>
      <c r="M13" s="14">
        <v>0</v>
      </c>
      <c r="N13" s="14">
        <v>182</v>
      </c>
    </row>
    <row r="14" spans="1:14" x14ac:dyDescent="0.25">
      <c r="A14" s="12" t="s">
        <v>34</v>
      </c>
      <c r="B14" s="13">
        <v>41340.631874999999</v>
      </c>
      <c r="C14" s="13">
        <v>41340.631874999999</v>
      </c>
      <c r="D14" s="12" t="s">
        <v>72</v>
      </c>
      <c r="E14" s="9"/>
      <c r="F14" s="12" t="s">
        <v>99</v>
      </c>
      <c r="G14" s="12" t="s">
        <v>100</v>
      </c>
      <c r="H14" s="9"/>
      <c r="I14" s="9"/>
      <c r="J14" s="9"/>
      <c r="K14" s="14">
        <v>31</v>
      </c>
      <c r="L14" s="14">
        <v>0</v>
      </c>
      <c r="M14" s="14">
        <v>0</v>
      </c>
      <c r="N14" s="14">
        <v>31</v>
      </c>
    </row>
    <row r="15" spans="1:14" x14ac:dyDescent="0.25">
      <c r="A15" s="12" t="s">
        <v>34</v>
      </c>
      <c r="B15" s="13">
        <v>41341.760821759257</v>
      </c>
      <c r="C15" s="13">
        <v>41341.760821759257</v>
      </c>
      <c r="D15" s="12" t="s">
        <v>72</v>
      </c>
      <c r="E15" s="9"/>
      <c r="F15" s="12" t="s">
        <v>101</v>
      </c>
      <c r="G15" s="12" t="s">
        <v>102</v>
      </c>
      <c r="H15" s="9"/>
      <c r="I15" s="9"/>
      <c r="J15" s="9"/>
      <c r="K15" s="14">
        <v>40</v>
      </c>
      <c r="L15" s="14">
        <v>0</v>
      </c>
      <c r="M15" s="14">
        <v>0</v>
      </c>
      <c r="N15" s="14">
        <v>40</v>
      </c>
    </row>
    <row r="16" spans="1:14" x14ac:dyDescent="0.25">
      <c r="A16" s="12" t="s">
        <v>43</v>
      </c>
      <c r="B16" s="13">
        <v>41341.905740740738</v>
      </c>
      <c r="C16" s="13">
        <v>41341.905740740738</v>
      </c>
      <c r="D16" s="12" t="s">
        <v>72</v>
      </c>
      <c r="E16" s="9"/>
      <c r="F16" s="12" t="s">
        <v>103</v>
      </c>
      <c r="G16" s="12" t="s">
        <v>104</v>
      </c>
      <c r="H16" s="9"/>
      <c r="I16" s="9"/>
      <c r="J16" s="9"/>
      <c r="K16" s="14">
        <v>250</v>
      </c>
      <c r="L16" s="14">
        <v>0</v>
      </c>
      <c r="M16" s="14">
        <v>0</v>
      </c>
      <c r="N16" s="14">
        <v>250</v>
      </c>
    </row>
    <row r="17" spans="1:14" x14ac:dyDescent="0.25">
      <c r="A17" s="12" t="s">
        <v>34</v>
      </c>
      <c r="B17" s="13">
        <v>41342.321689814817</v>
      </c>
      <c r="C17" s="13">
        <v>41342.321689814817</v>
      </c>
      <c r="D17" s="12" t="s">
        <v>72</v>
      </c>
      <c r="E17" s="9"/>
      <c r="F17" s="12" t="s">
        <v>105</v>
      </c>
      <c r="G17" s="12" t="s">
        <v>106</v>
      </c>
      <c r="H17" s="9"/>
      <c r="I17" s="9"/>
      <c r="J17" s="9"/>
      <c r="K17" s="14">
        <v>20</v>
      </c>
      <c r="L17" s="14">
        <v>0</v>
      </c>
      <c r="M17" s="14">
        <v>0</v>
      </c>
      <c r="N17" s="14">
        <v>20</v>
      </c>
    </row>
    <row r="18" spans="1:14" x14ac:dyDescent="0.25">
      <c r="A18" s="12" t="s">
        <v>41</v>
      </c>
      <c r="B18" s="13">
        <v>41342.388402777775</v>
      </c>
      <c r="C18" s="13">
        <v>41342.388402777775</v>
      </c>
      <c r="D18" s="12" t="s">
        <v>72</v>
      </c>
      <c r="E18" s="9"/>
      <c r="F18" s="12" t="s">
        <v>107</v>
      </c>
      <c r="G18" s="12" t="s">
        <v>108</v>
      </c>
      <c r="H18" s="9"/>
      <c r="I18" s="9"/>
      <c r="J18" s="9"/>
      <c r="K18" s="14">
        <v>100</v>
      </c>
      <c r="L18" s="14">
        <v>0</v>
      </c>
      <c r="M18" s="14">
        <v>0</v>
      </c>
      <c r="N18" s="14">
        <v>100</v>
      </c>
    </row>
    <row r="19" spans="1:14" x14ac:dyDescent="0.25">
      <c r="A19" s="12" t="s">
        <v>39</v>
      </c>
      <c r="B19" s="13">
        <v>41342.417303240742</v>
      </c>
      <c r="C19" s="13">
        <v>41342.417303240742</v>
      </c>
      <c r="D19" s="12" t="s">
        <v>72</v>
      </c>
      <c r="E19" s="9"/>
      <c r="F19" s="12" t="s">
        <v>109</v>
      </c>
      <c r="G19" s="12" t="s">
        <v>110</v>
      </c>
      <c r="H19" s="9"/>
      <c r="I19" s="9"/>
      <c r="J19" s="9"/>
      <c r="K19" s="14">
        <v>250</v>
      </c>
      <c r="L19" s="14">
        <v>0</v>
      </c>
      <c r="M19" s="14">
        <v>0</v>
      </c>
      <c r="N19" s="14">
        <v>250</v>
      </c>
    </row>
    <row r="20" spans="1:14" x14ac:dyDescent="0.25">
      <c r="A20" s="12" t="s">
        <v>37</v>
      </c>
      <c r="B20" s="13">
        <v>41342.448877314811</v>
      </c>
      <c r="C20" s="13">
        <v>41342.448877314811</v>
      </c>
      <c r="D20" s="12" t="s">
        <v>72</v>
      </c>
      <c r="E20" s="9"/>
      <c r="F20" s="12" t="s">
        <v>111</v>
      </c>
      <c r="G20" s="12" t="s">
        <v>112</v>
      </c>
      <c r="H20" s="9"/>
      <c r="I20" s="9"/>
      <c r="J20" s="9"/>
      <c r="K20" s="14">
        <v>100</v>
      </c>
      <c r="L20" s="14">
        <v>0</v>
      </c>
      <c r="M20" s="14">
        <v>0</v>
      </c>
      <c r="N20" s="14">
        <v>100</v>
      </c>
    </row>
    <row r="21" spans="1:14" x14ac:dyDescent="0.25">
      <c r="A21" s="12" t="s">
        <v>28</v>
      </c>
      <c r="B21" s="13">
        <v>41342.475486111114</v>
      </c>
      <c r="C21" s="13">
        <v>41342.475486111114</v>
      </c>
      <c r="D21" s="12" t="s">
        <v>72</v>
      </c>
      <c r="E21" s="9"/>
      <c r="F21" s="12" t="s">
        <v>113</v>
      </c>
      <c r="G21" s="12" t="s">
        <v>114</v>
      </c>
      <c r="H21" s="9"/>
      <c r="I21" s="9"/>
      <c r="J21" s="9"/>
      <c r="K21" s="14">
        <v>125</v>
      </c>
      <c r="L21" s="14">
        <v>0</v>
      </c>
      <c r="M21" s="14">
        <v>0</v>
      </c>
      <c r="N21" s="14">
        <v>125</v>
      </c>
    </row>
    <row r="22" spans="1:14" x14ac:dyDescent="0.25">
      <c r="A22" s="12" t="s">
        <v>34</v>
      </c>
      <c r="B22" s="13">
        <v>41342.590821759259</v>
      </c>
      <c r="C22" s="13">
        <v>41342.590821759259</v>
      </c>
      <c r="D22" s="12" t="s">
        <v>72</v>
      </c>
      <c r="E22" s="9"/>
      <c r="F22" s="12" t="s">
        <v>115</v>
      </c>
      <c r="G22" s="12" t="s">
        <v>116</v>
      </c>
      <c r="H22" s="9"/>
      <c r="I22" s="9"/>
      <c r="J22" s="9"/>
      <c r="K22" s="14">
        <v>20</v>
      </c>
      <c r="L22" s="14">
        <v>0</v>
      </c>
      <c r="M22" s="14">
        <v>0</v>
      </c>
      <c r="N22" s="14">
        <v>20</v>
      </c>
    </row>
    <row r="23" spans="1:14" x14ac:dyDescent="0.25">
      <c r="A23" s="12" t="s">
        <v>32</v>
      </c>
      <c r="B23" s="13">
        <v>41342.675775462965</v>
      </c>
      <c r="C23" s="13">
        <v>41342.675775462965</v>
      </c>
      <c r="D23" s="12" t="s">
        <v>72</v>
      </c>
      <c r="E23" s="9"/>
      <c r="F23" s="12" t="s">
        <v>117</v>
      </c>
      <c r="G23" s="12" t="s">
        <v>118</v>
      </c>
      <c r="H23" s="9"/>
      <c r="I23" s="9"/>
      <c r="J23" s="9"/>
      <c r="K23" s="14">
        <v>200</v>
      </c>
      <c r="L23" s="14">
        <v>0</v>
      </c>
      <c r="M23" s="14">
        <v>0</v>
      </c>
      <c r="N23" s="14">
        <v>200</v>
      </c>
    </row>
    <row r="24" spans="1:14" x14ac:dyDescent="0.25">
      <c r="A24" s="12" t="s">
        <v>28</v>
      </c>
      <c r="B24" s="13">
        <v>41342.703587962962</v>
      </c>
      <c r="C24" s="13">
        <v>41342.703587962962</v>
      </c>
      <c r="D24" s="12" t="s">
        <v>72</v>
      </c>
      <c r="E24" s="9"/>
      <c r="F24" s="12" t="s">
        <v>119</v>
      </c>
      <c r="G24" s="12" t="s">
        <v>120</v>
      </c>
      <c r="H24" s="9"/>
      <c r="I24" s="9"/>
      <c r="J24" s="9"/>
      <c r="K24" s="14">
        <v>100</v>
      </c>
      <c r="L24" s="14">
        <v>0</v>
      </c>
      <c r="M24" s="14">
        <v>0</v>
      </c>
      <c r="N24" s="14">
        <v>100</v>
      </c>
    </row>
    <row r="25" spans="1:14" x14ac:dyDescent="0.25">
      <c r="A25" s="12" t="s">
        <v>30</v>
      </c>
      <c r="B25" s="13">
        <v>41342.710266203707</v>
      </c>
      <c r="C25" s="13">
        <v>41342.710266203707</v>
      </c>
      <c r="D25" s="12" t="s">
        <v>72</v>
      </c>
      <c r="E25" s="9"/>
      <c r="F25" s="12" t="s">
        <v>121</v>
      </c>
      <c r="G25" s="12" t="s">
        <v>122</v>
      </c>
      <c r="H25" s="9"/>
      <c r="I25" s="9"/>
      <c r="J25" s="9"/>
      <c r="K25" s="14">
        <v>50</v>
      </c>
      <c r="L25" s="14">
        <v>0</v>
      </c>
      <c r="M25" s="14">
        <v>0</v>
      </c>
      <c r="N25" s="14">
        <v>50</v>
      </c>
    </row>
    <row r="26" spans="1:14" x14ac:dyDescent="0.25">
      <c r="A26" s="12" t="s">
        <v>28</v>
      </c>
      <c r="B26" s="13">
        <v>41342.785601851851</v>
      </c>
      <c r="C26" s="13">
        <v>41342.785601851851</v>
      </c>
      <c r="D26" s="12" t="s">
        <v>72</v>
      </c>
      <c r="E26" s="9"/>
      <c r="F26" s="12" t="s">
        <v>123</v>
      </c>
      <c r="G26" s="12" t="s">
        <v>124</v>
      </c>
      <c r="H26" s="9"/>
      <c r="I26" s="9"/>
      <c r="J26" s="9"/>
      <c r="K26" s="14">
        <v>25</v>
      </c>
      <c r="L26" s="14">
        <v>0</v>
      </c>
      <c r="M26" s="14">
        <v>0</v>
      </c>
      <c r="N26" s="14">
        <v>25</v>
      </c>
    </row>
    <row r="27" spans="1:14" x14ac:dyDescent="0.25">
      <c r="A27" s="12" t="s">
        <v>26</v>
      </c>
      <c r="B27" s="13">
        <v>41342.819560185184</v>
      </c>
      <c r="C27" s="13">
        <v>41342.819560185184</v>
      </c>
      <c r="D27" s="12" t="s">
        <v>72</v>
      </c>
      <c r="E27" s="9"/>
      <c r="F27" s="12" t="s">
        <v>125</v>
      </c>
      <c r="G27" s="12" t="s">
        <v>126</v>
      </c>
      <c r="H27" s="9"/>
      <c r="I27" s="9"/>
      <c r="J27" s="9"/>
      <c r="K27" s="14">
        <v>20</v>
      </c>
      <c r="L27" s="14">
        <v>0</v>
      </c>
      <c r="M27" s="14">
        <v>0</v>
      </c>
      <c r="N27" s="14">
        <v>20</v>
      </c>
    </row>
    <row r="28" spans="1:14" x14ac:dyDescent="0.25">
      <c r="A28" s="12" t="s">
        <v>23</v>
      </c>
      <c r="B28" s="13">
        <v>41342.872245370374</v>
      </c>
      <c r="C28" s="13">
        <v>41342.872245370374</v>
      </c>
      <c r="D28" s="12" t="s">
        <v>72</v>
      </c>
      <c r="E28" s="9"/>
      <c r="F28" s="12" t="s">
        <v>127</v>
      </c>
      <c r="G28" s="12" t="s">
        <v>128</v>
      </c>
      <c r="H28" s="9"/>
      <c r="I28" s="9"/>
      <c r="J28" s="9"/>
      <c r="K28" s="14">
        <v>110</v>
      </c>
      <c r="L28" s="14">
        <v>0</v>
      </c>
      <c r="M28" s="14">
        <v>0</v>
      </c>
      <c r="N28" s="14">
        <v>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>
      <selection activeCell="K1" sqref="K1"/>
    </sheetView>
  </sheetViews>
  <sheetFormatPr defaultRowHeight="15" x14ac:dyDescent="0.25"/>
  <sheetData>
    <row r="1" spans="1:14" x14ac:dyDescent="0.25">
      <c r="A1" s="8" t="s">
        <v>13</v>
      </c>
      <c r="B1" s="7">
        <v>41342.876759259256</v>
      </c>
      <c r="C1" s="7">
        <v>41342.876759259256</v>
      </c>
      <c r="D1" s="8" t="s">
        <v>69</v>
      </c>
      <c r="E1" s="4"/>
      <c r="F1" s="8" t="s">
        <v>70</v>
      </c>
      <c r="G1" s="8" t="s">
        <v>71</v>
      </c>
      <c r="H1" s="4"/>
      <c r="I1" s="4"/>
      <c r="J1" s="4"/>
      <c r="K1" s="6">
        <v>100</v>
      </c>
      <c r="L1" s="6">
        <v>0</v>
      </c>
      <c r="M1" s="6">
        <v>0</v>
      </c>
      <c r="N1" s="6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selection activeCell="K1" sqref="K1:K3"/>
    </sheetView>
  </sheetViews>
  <sheetFormatPr defaultRowHeight="15" x14ac:dyDescent="0.25"/>
  <sheetData>
    <row r="1" spans="1:14" x14ac:dyDescent="0.25">
      <c r="A1" s="2" t="s">
        <v>45</v>
      </c>
      <c r="B1" s="1">
        <v>41340.611585648148</v>
      </c>
      <c r="C1" s="1">
        <v>41340.611585648148</v>
      </c>
      <c r="D1" s="2" t="s">
        <v>62</v>
      </c>
      <c r="E1" s="5"/>
      <c r="F1" s="2" t="s">
        <v>63</v>
      </c>
      <c r="G1" s="2" t="s">
        <v>64</v>
      </c>
      <c r="H1" s="5"/>
      <c r="I1" s="5"/>
      <c r="J1" s="5"/>
      <c r="K1" s="3">
        <v>50</v>
      </c>
      <c r="L1" s="3">
        <v>0</v>
      </c>
      <c r="M1" s="3">
        <v>0</v>
      </c>
      <c r="N1" s="3">
        <v>50</v>
      </c>
    </row>
    <row r="2" spans="1:14" x14ac:dyDescent="0.25">
      <c r="A2" s="2" t="s">
        <v>13</v>
      </c>
      <c r="B2" s="1">
        <v>41342.456724537034</v>
      </c>
      <c r="C2" s="1">
        <v>41342.456724537034</v>
      </c>
      <c r="D2" s="2" t="s">
        <v>62</v>
      </c>
      <c r="E2" s="5"/>
      <c r="F2" s="2" t="s">
        <v>65</v>
      </c>
      <c r="G2" s="2" t="s">
        <v>66</v>
      </c>
      <c r="H2" s="5"/>
      <c r="I2" s="5"/>
      <c r="J2" s="5"/>
      <c r="K2" s="3">
        <v>50</v>
      </c>
      <c r="L2" s="3">
        <v>0</v>
      </c>
      <c r="M2" s="3">
        <v>0</v>
      </c>
      <c r="N2" s="3">
        <v>50</v>
      </c>
    </row>
    <row r="3" spans="1:14" x14ac:dyDescent="0.25">
      <c r="A3" s="2" t="s">
        <v>13</v>
      </c>
      <c r="B3" s="1">
        <v>41342.976018518515</v>
      </c>
      <c r="C3" s="1">
        <v>41342.976018518515</v>
      </c>
      <c r="D3" s="2" t="s">
        <v>62</v>
      </c>
      <c r="E3" s="5"/>
      <c r="F3" s="2" t="s">
        <v>67</v>
      </c>
      <c r="G3" s="2" t="s">
        <v>68</v>
      </c>
      <c r="H3" s="5"/>
      <c r="I3" s="5"/>
      <c r="J3" s="5"/>
      <c r="K3" s="3">
        <v>50</v>
      </c>
      <c r="L3" s="3">
        <v>0</v>
      </c>
      <c r="M3" s="3">
        <v>0</v>
      </c>
      <c r="N3" s="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116"/>
  <sheetViews>
    <sheetView tabSelected="1" workbookViewId="0">
      <selection activeCell="B16" sqref="B16"/>
    </sheetView>
  </sheetViews>
  <sheetFormatPr defaultRowHeight="15" x14ac:dyDescent="0.25"/>
  <sheetData>
    <row r="2" spans="1:2" x14ac:dyDescent="0.25">
      <c r="A2" t="s">
        <v>25</v>
      </c>
      <c r="B2">
        <f>SUM(DNP!N1:N30)</f>
        <v>2702.3900000000003</v>
      </c>
    </row>
    <row r="3" spans="1:2" x14ac:dyDescent="0.25">
      <c r="A3" t="s">
        <v>21</v>
      </c>
      <c r="B3">
        <f>SUM(QP!F1)</f>
        <v>99.91</v>
      </c>
    </row>
    <row r="4" spans="1:2" x14ac:dyDescent="0.25">
      <c r="A4" t="s">
        <v>15</v>
      </c>
      <c r="B4">
        <f>SUM('QP1'!F1:F3)</f>
        <v>149.82</v>
      </c>
    </row>
    <row r="6" spans="1:2" x14ac:dyDescent="0.25">
      <c r="B6" s="30">
        <f>SUM(B2:B4)</f>
        <v>2952.1200000000003</v>
      </c>
    </row>
    <row r="8" spans="1:2" x14ac:dyDescent="0.25">
      <c r="A8" t="s">
        <v>302</v>
      </c>
      <c r="B8" s="30">
        <f>SUM(DF!K2:K33)</f>
        <v>2952.3900000000003</v>
      </c>
    </row>
    <row r="12" spans="1:2" x14ac:dyDescent="0.25">
      <c r="A12" t="s">
        <v>303</v>
      </c>
      <c r="B12" s="21">
        <f>SUM(DGSDNP!K1:K28)</f>
        <v>2702.3900000000003</v>
      </c>
    </row>
    <row r="13" spans="1:2" x14ac:dyDescent="0.25">
      <c r="A13" t="s">
        <v>304</v>
      </c>
      <c r="B13" s="21">
        <f>SUM(DGSQP!K1)</f>
        <v>100</v>
      </c>
    </row>
    <row r="14" spans="1:2" x14ac:dyDescent="0.25">
      <c r="A14" t="s">
        <v>305</v>
      </c>
      <c r="B14" s="21">
        <f>SUM(DGSQP1!K1:K3)</f>
        <v>150</v>
      </c>
    </row>
    <row r="16" spans="1:2" x14ac:dyDescent="0.25">
      <c r="B16" s="31">
        <f>SUM(B12:B14)</f>
        <v>2952.3900000000003</v>
      </c>
    </row>
    <row r="19" spans="1:3" x14ac:dyDescent="0.25">
      <c r="A19" s="23"/>
      <c r="B19" s="23"/>
      <c r="C19" s="23"/>
    </row>
    <row r="20" spans="1:3" x14ac:dyDescent="0.25">
      <c r="A20" s="23"/>
      <c r="B20" s="23"/>
      <c r="C20" s="23"/>
    </row>
    <row r="21" spans="1:3" x14ac:dyDescent="0.25">
      <c r="A21" s="23">
        <v>1658</v>
      </c>
      <c r="B21" s="23" t="s">
        <v>25</v>
      </c>
      <c r="C21" s="23">
        <v>48</v>
      </c>
    </row>
    <row r="22" spans="1:3" x14ac:dyDescent="0.25">
      <c r="A22" s="26">
        <v>1658</v>
      </c>
      <c r="B22" s="22" t="s">
        <v>303</v>
      </c>
      <c r="C22" s="27">
        <v>48</v>
      </c>
    </row>
    <row r="23" spans="1:3" x14ac:dyDescent="0.25">
      <c r="A23" s="29">
        <v>1658</v>
      </c>
      <c r="B23" s="29" t="s">
        <v>302</v>
      </c>
      <c r="C23" s="29">
        <v>48</v>
      </c>
    </row>
    <row r="24" spans="1:3" x14ac:dyDescent="0.25">
      <c r="A24" s="23">
        <v>1662</v>
      </c>
      <c r="B24" s="23" t="s">
        <v>25</v>
      </c>
      <c r="C24" s="23">
        <v>50</v>
      </c>
    </row>
    <row r="25" spans="1:3" x14ac:dyDescent="0.25">
      <c r="A25" s="26">
        <v>1662</v>
      </c>
      <c r="B25" s="22" t="s">
        <v>303</v>
      </c>
      <c r="C25" s="27">
        <v>50</v>
      </c>
    </row>
    <row r="26" spans="1:3" x14ac:dyDescent="0.25">
      <c r="A26" s="29">
        <v>1662</v>
      </c>
      <c r="B26" s="29" t="s">
        <v>302</v>
      </c>
      <c r="C26" s="29">
        <v>50</v>
      </c>
    </row>
    <row r="27" spans="1:3" x14ac:dyDescent="0.25">
      <c r="A27" s="23">
        <v>1685</v>
      </c>
      <c r="B27" s="23" t="s">
        <v>25</v>
      </c>
      <c r="C27" s="23">
        <v>50</v>
      </c>
    </row>
    <row r="28" spans="1:3" x14ac:dyDescent="0.25">
      <c r="A28" s="26">
        <v>1685</v>
      </c>
      <c r="B28" s="22" t="s">
        <v>303</v>
      </c>
      <c r="C28" s="27">
        <v>50</v>
      </c>
    </row>
    <row r="29" spans="1:3" x14ac:dyDescent="0.25">
      <c r="A29" s="29">
        <v>1685</v>
      </c>
      <c r="B29" s="29" t="s">
        <v>302</v>
      </c>
      <c r="C29" s="29">
        <v>50</v>
      </c>
    </row>
    <row r="30" spans="1:3" x14ac:dyDescent="0.25">
      <c r="A30" s="23">
        <v>1687</v>
      </c>
      <c r="B30" s="23" t="s">
        <v>25</v>
      </c>
      <c r="C30" s="23">
        <v>75</v>
      </c>
    </row>
    <row r="31" spans="1:3" x14ac:dyDescent="0.25">
      <c r="A31" s="26">
        <v>1687</v>
      </c>
      <c r="B31" s="22" t="s">
        <v>303</v>
      </c>
      <c r="C31" s="27">
        <v>75</v>
      </c>
    </row>
    <row r="32" spans="1:3" x14ac:dyDescent="0.25">
      <c r="A32" s="29">
        <v>1687</v>
      </c>
      <c r="B32" s="29" t="s">
        <v>302</v>
      </c>
      <c r="C32" s="29">
        <v>75</v>
      </c>
    </row>
    <row r="33" spans="1:3" x14ac:dyDescent="0.25">
      <c r="A33" s="23">
        <v>1698</v>
      </c>
      <c r="B33" s="23" t="s">
        <v>25</v>
      </c>
      <c r="C33" s="23">
        <v>60</v>
      </c>
    </row>
    <row r="34" spans="1:3" x14ac:dyDescent="0.25">
      <c r="A34" s="26">
        <v>1698</v>
      </c>
      <c r="B34" s="22" t="s">
        <v>303</v>
      </c>
      <c r="C34" s="27">
        <v>60</v>
      </c>
    </row>
    <row r="35" spans="1:3" x14ac:dyDescent="0.25">
      <c r="A35" s="29">
        <v>1698</v>
      </c>
      <c r="B35" s="29" t="s">
        <v>302</v>
      </c>
      <c r="C35" s="29">
        <v>60</v>
      </c>
    </row>
    <row r="36" spans="1:3" x14ac:dyDescent="0.25">
      <c r="A36" s="23">
        <v>1700</v>
      </c>
      <c r="B36" s="23" t="s">
        <v>25</v>
      </c>
      <c r="C36" s="23">
        <v>250</v>
      </c>
    </row>
    <row r="37" spans="1:3" x14ac:dyDescent="0.25">
      <c r="A37" s="26">
        <v>1700</v>
      </c>
      <c r="B37" s="22" t="s">
        <v>303</v>
      </c>
      <c r="C37" s="27">
        <v>250</v>
      </c>
    </row>
    <row r="38" spans="1:3" x14ac:dyDescent="0.25">
      <c r="A38" s="29">
        <v>1700</v>
      </c>
      <c r="B38" s="29" t="s">
        <v>302</v>
      </c>
      <c r="C38" s="29">
        <v>250</v>
      </c>
    </row>
    <row r="39" spans="1:3" x14ac:dyDescent="0.25">
      <c r="A39" s="23">
        <v>1702</v>
      </c>
      <c r="B39" s="23" t="s">
        <v>25</v>
      </c>
      <c r="C39" s="23">
        <v>250</v>
      </c>
    </row>
    <row r="40" spans="1:3" x14ac:dyDescent="0.25">
      <c r="A40" s="26">
        <v>1702</v>
      </c>
      <c r="B40" s="22" t="s">
        <v>303</v>
      </c>
      <c r="C40" s="27">
        <v>250</v>
      </c>
    </row>
    <row r="41" spans="1:3" x14ac:dyDescent="0.25">
      <c r="A41" s="29">
        <v>1702</v>
      </c>
      <c r="B41" s="29" t="s">
        <v>302</v>
      </c>
      <c r="C41" s="29">
        <v>250</v>
      </c>
    </row>
    <row r="42" spans="1:3" x14ac:dyDescent="0.25">
      <c r="A42" s="23">
        <v>1704</v>
      </c>
      <c r="B42" s="23" t="s">
        <v>25</v>
      </c>
      <c r="C42" s="23">
        <v>102</v>
      </c>
    </row>
    <row r="43" spans="1:3" x14ac:dyDescent="0.25">
      <c r="A43" s="26">
        <v>1704</v>
      </c>
      <c r="B43" s="22" t="s">
        <v>303</v>
      </c>
      <c r="C43" s="27">
        <v>102</v>
      </c>
    </row>
    <row r="44" spans="1:3" x14ac:dyDescent="0.25">
      <c r="A44" s="29">
        <v>1704</v>
      </c>
      <c r="B44" s="29" t="s">
        <v>302</v>
      </c>
      <c r="C44" s="29">
        <v>102</v>
      </c>
    </row>
    <row r="45" spans="1:3" x14ac:dyDescent="0.25">
      <c r="A45" s="23">
        <v>1707</v>
      </c>
      <c r="B45" s="23" t="s">
        <v>25</v>
      </c>
      <c r="C45" s="23">
        <v>102</v>
      </c>
    </row>
    <row r="46" spans="1:3" x14ac:dyDescent="0.25">
      <c r="A46" s="26">
        <v>1707</v>
      </c>
      <c r="B46" s="22" t="s">
        <v>303</v>
      </c>
      <c r="C46" s="27">
        <v>102</v>
      </c>
    </row>
    <row r="47" spans="1:3" x14ac:dyDescent="0.25">
      <c r="A47" s="29">
        <v>1707</v>
      </c>
      <c r="B47" s="29" t="s">
        <v>302</v>
      </c>
      <c r="C47" s="29">
        <v>102</v>
      </c>
    </row>
    <row r="48" spans="1:3" x14ac:dyDescent="0.25">
      <c r="A48" s="23">
        <v>1708</v>
      </c>
      <c r="B48" s="23" t="s">
        <v>25</v>
      </c>
      <c r="C48" s="23">
        <v>20</v>
      </c>
    </row>
    <row r="49" spans="1:3" x14ac:dyDescent="0.25">
      <c r="A49" s="26">
        <v>1708</v>
      </c>
      <c r="B49" s="22" t="s">
        <v>303</v>
      </c>
      <c r="C49" s="27">
        <v>20</v>
      </c>
    </row>
    <row r="50" spans="1:3" x14ac:dyDescent="0.25">
      <c r="A50" s="29">
        <v>1708</v>
      </c>
      <c r="B50" s="29" t="s">
        <v>302</v>
      </c>
      <c r="C50" s="29">
        <v>20</v>
      </c>
    </row>
    <row r="51" spans="1:3" x14ac:dyDescent="0.25">
      <c r="A51" s="23">
        <v>1712</v>
      </c>
      <c r="B51" s="23" t="s">
        <v>25</v>
      </c>
      <c r="C51" s="23">
        <v>20</v>
      </c>
    </row>
    <row r="52" spans="1:3" x14ac:dyDescent="0.25">
      <c r="A52" s="26">
        <v>1712</v>
      </c>
      <c r="B52" s="22" t="s">
        <v>303</v>
      </c>
      <c r="C52" s="27">
        <v>20</v>
      </c>
    </row>
    <row r="53" spans="1:3" x14ac:dyDescent="0.25">
      <c r="A53" s="29">
        <v>1712</v>
      </c>
      <c r="B53" s="29" t="s">
        <v>302</v>
      </c>
      <c r="C53" s="29">
        <v>20</v>
      </c>
    </row>
    <row r="54" spans="1:3" x14ac:dyDescent="0.25">
      <c r="A54" s="23">
        <v>1727</v>
      </c>
      <c r="B54" s="23" t="s">
        <v>25</v>
      </c>
      <c r="C54" s="23">
        <v>52.39</v>
      </c>
    </row>
    <row r="55" spans="1:3" x14ac:dyDescent="0.25">
      <c r="A55" s="26">
        <v>1727</v>
      </c>
      <c r="B55" s="22" t="s">
        <v>303</v>
      </c>
      <c r="C55" s="27">
        <v>52.39</v>
      </c>
    </row>
    <row r="56" spans="1:3" x14ac:dyDescent="0.25">
      <c r="A56" s="29">
        <v>1727</v>
      </c>
      <c r="B56" s="29" t="s">
        <v>302</v>
      </c>
      <c r="C56" s="29">
        <v>52.39</v>
      </c>
    </row>
    <row r="57" spans="1:3" x14ac:dyDescent="0.25">
      <c r="A57" s="23">
        <v>1729</v>
      </c>
      <c r="B57" s="23" t="s">
        <v>25</v>
      </c>
      <c r="C57" s="23">
        <v>182</v>
      </c>
    </row>
    <row r="58" spans="1:3" x14ac:dyDescent="0.25">
      <c r="A58" s="26">
        <v>1729</v>
      </c>
      <c r="B58" s="22" t="s">
        <v>303</v>
      </c>
      <c r="C58" s="27">
        <v>182</v>
      </c>
    </row>
    <row r="59" spans="1:3" x14ac:dyDescent="0.25">
      <c r="A59" s="29">
        <v>1729</v>
      </c>
      <c r="B59" s="29" t="s">
        <v>302</v>
      </c>
      <c r="C59" s="29">
        <v>182</v>
      </c>
    </row>
    <row r="60" spans="1:3" x14ac:dyDescent="0.25">
      <c r="A60" s="24" t="s">
        <v>287</v>
      </c>
      <c r="B60" s="23" t="s">
        <v>15</v>
      </c>
      <c r="C60" s="25">
        <v>49.96</v>
      </c>
    </row>
    <row r="61" spans="1:3" x14ac:dyDescent="0.25">
      <c r="A61" s="26">
        <v>1735</v>
      </c>
      <c r="B61" s="22" t="s">
        <v>305</v>
      </c>
      <c r="C61" s="27">
        <v>50</v>
      </c>
    </row>
    <row r="62" spans="1:3" x14ac:dyDescent="0.25">
      <c r="A62" s="29">
        <v>1735</v>
      </c>
      <c r="B62" s="29" t="s">
        <v>302</v>
      </c>
      <c r="C62" s="29">
        <v>50</v>
      </c>
    </row>
    <row r="63" spans="1:3" x14ac:dyDescent="0.25">
      <c r="A63" s="23">
        <v>1739</v>
      </c>
      <c r="B63" s="23" t="s">
        <v>25</v>
      </c>
      <c r="C63" s="23">
        <v>31</v>
      </c>
    </row>
    <row r="64" spans="1:3" x14ac:dyDescent="0.25">
      <c r="A64" s="26">
        <v>1739</v>
      </c>
      <c r="B64" s="22" t="s">
        <v>303</v>
      </c>
      <c r="C64" s="27">
        <v>31</v>
      </c>
    </row>
    <row r="65" spans="1:3" x14ac:dyDescent="0.25">
      <c r="A65" s="29">
        <v>1739</v>
      </c>
      <c r="B65" s="29" t="s">
        <v>302</v>
      </c>
      <c r="C65" s="29">
        <v>31</v>
      </c>
    </row>
    <row r="66" spans="1:3" x14ac:dyDescent="0.25">
      <c r="A66" s="23">
        <v>1751</v>
      </c>
      <c r="B66" s="23" t="s">
        <v>25</v>
      </c>
      <c r="C66" s="23">
        <v>40</v>
      </c>
    </row>
    <row r="67" spans="1:3" x14ac:dyDescent="0.25">
      <c r="A67" s="26">
        <v>1751</v>
      </c>
      <c r="B67" s="22" t="s">
        <v>303</v>
      </c>
      <c r="C67" s="27">
        <v>40</v>
      </c>
    </row>
    <row r="68" spans="1:3" x14ac:dyDescent="0.25">
      <c r="A68" s="29">
        <v>1751</v>
      </c>
      <c r="B68" s="29" t="s">
        <v>302</v>
      </c>
      <c r="C68" s="29">
        <v>40</v>
      </c>
    </row>
    <row r="69" spans="1:3" x14ac:dyDescent="0.25">
      <c r="A69" s="23">
        <v>1753</v>
      </c>
      <c r="B69" s="23" t="s">
        <v>25</v>
      </c>
      <c r="C69" s="23">
        <v>250</v>
      </c>
    </row>
    <row r="70" spans="1:3" x14ac:dyDescent="0.25">
      <c r="A70" s="26">
        <v>1753</v>
      </c>
      <c r="B70" s="22" t="s">
        <v>303</v>
      </c>
      <c r="C70" s="27">
        <v>250</v>
      </c>
    </row>
    <row r="71" spans="1:3" x14ac:dyDescent="0.25">
      <c r="A71" s="29">
        <v>1753</v>
      </c>
      <c r="B71" s="29" t="s">
        <v>302</v>
      </c>
      <c r="C71" s="29">
        <v>250</v>
      </c>
    </row>
    <row r="72" spans="1:3" x14ac:dyDescent="0.25">
      <c r="A72" s="23">
        <v>1772</v>
      </c>
      <c r="B72" s="23" t="s">
        <v>25</v>
      </c>
      <c r="C72" s="23">
        <v>20</v>
      </c>
    </row>
    <row r="73" spans="1:3" x14ac:dyDescent="0.25">
      <c r="A73" s="26">
        <v>1772</v>
      </c>
      <c r="B73" s="22" t="s">
        <v>303</v>
      </c>
      <c r="C73" s="27">
        <v>20</v>
      </c>
    </row>
    <row r="74" spans="1:3" x14ac:dyDescent="0.25">
      <c r="A74" s="29">
        <v>1772</v>
      </c>
      <c r="B74" s="29" t="s">
        <v>302</v>
      </c>
      <c r="C74" s="29">
        <v>20</v>
      </c>
    </row>
    <row r="75" spans="1:3" x14ac:dyDescent="0.25">
      <c r="A75" s="23">
        <v>1774</v>
      </c>
      <c r="B75" s="23" t="s">
        <v>25</v>
      </c>
      <c r="C75" s="23">
        <v>100</v>
      </c>
    </row>
    <row r="76" spans="1:3" x14ac:dyDescent="0.25">
      <c r="A76" s="26">
        <v>1774</v>
      </c>
      <c r="B76" s="22" t="s">
        <v>303</v>
      </c>
      <c r="C76" s="27">
        <v>100</v>
      </c>
    </row>
    <row r="77" spans="1:3" x14ac:dyDescent="0.25">
      <c r="A77" s="29">
        <v>1774</v>
      </c>
      <c r="B77" s="29" t="s">
        <v>302</v>
      </c>
      <c r="C77" s="29">
        <v>100</v>
      </c>
    </row>
    <row r="78" spans="1:3" x14ac:dyDescent="0.25">
      <c r="A78" s="23">
        <v>1776</v>
      </c>
      <c r="B78" s="23" t="s">
        <v>25</v>
      </c>
      <c r="C78" s="23">
        <v>250</v>
      </c>
    </row>
    <row r="79" spans="1:3" x14ac:dyDescent="0.25">
      <c r="A79" s="26">
        <v>1776</v>
      </c>
      <c r="B79" s="22" t="s">
        <v>303</v>
      </c>
      <c r="C79" s="27">
        <v>250</v>
      </c>
    </row>
    <row r="80" spans="1:3" x14ac:dyDescent="0.25">
      <c r="A80" s="29">
        <v>1776</v>
      </c>
      <c r="B80" s="29" t="s">
        <v>302</v>
      </c>
      <c r="C80" s="29">
        <v>250</v>
      </c>
    </row>
    <row r="81" spans="1:3" x14ac:dyDescent="0.25">
      <c r="A81" s="23">
        <v>1778</v>
      </c>
      <c r="B81" s="23" t="s">
        <v>25</v>
      </c>
      <c r="C81" s="23">
        <v>100</v>
      </c>
    </row>
    <row r="82" spans="1:3" x14ac:dyDescent="0.25">
      <c r="A82" s="26">
        <v>1778</v>
      </c>
      <c r="B82" s="22" t="s">
        <v>303</v>
      </c>
      <c r="C82" s="27">
        <v>100</v>
      </c>
    </row>
    <row r="83" spans="1:3" x14ac:dyDescent="0.25">
      <c r="A83" s="29">
        <v>1778</v>
      </c>
      <c r="B83" s="29" t="s">
        <v>302</v>
      </c>
      <c r="C83" s="29">
        <v>100</v>
      </c>
    </row>
    <row r="84" spans="1:3" x14ac:dyDescent="0.25">
      <c r="A84" s="24" t="s">
        <v>282</v>
      </c>
      <c r="B84" s="23" t="s">
        <v>15</v>
      </c>
      <c r="C84" s="25">
        <v>49.95</v>
      </c>
    </row>
    <row r="85" spans="1:3" x14ac:dyDescent="0.25">
      <c r="A85" s="26">
        <v>1779</v>
      </c>
      <c r="B85" s="22" t="s">
        <v>305</v>
      </c>
      <c r="C85" s="27">
        <v>50</v>
      </c>
    </row>
    <row r="86" spans="1:3" x14ac:dyDescent="0.25">
      <c r="A86" s="29">
        <v>1779</v>
      </c>
      <c r="B86" s="29" t="s">
        <v>302</v>
      </c>
      <c r="C86" s="29">
        <v>50</v>
      </c>
    </row>
    <row r="87" spans="1:3" x14ac:dyDescent="0.25">
      <c r="A87" s="23">
        <v>1781</v>
      </c>
      <c r="B87" s="23" t="s">
        <v>25</v>
      </c>
      <c r="C87" s="23">
        <v>125</v>
      </c>
    </row>
    <row r="88" spans="1:3" x14ac:dyDescent="0.25">
      <c r="A88" s="26">
        <v>1781</v>
      </c>
      <c r="B88" s="22" t="s">
        <v>303</v>
      </c>
      <c r="C88" s="27">
        <v>125</v>
      </c>
    </row>
    <row r="89" spans="1:3" x14ac:dyDescent="0.25">
      <c r="A89" s="29">
        <v>1781</v>
      </c>
      <c r="B89" s="29" t="s">
        <v>302</v>
      </c>
      <c r="C89" s="29">
        <v>125</v>
      </c>
    </row>
    <row r="90" spans="1:3" x14ac:dyDescent="0.25">
      <c r="A90" s="23">
        <v>1783</v>
      </c>
      <c r="B90" s="23" t="s">
        <v>25</v>
      </c>
      <c r="C90" s="23">
        <v>20</v>
      </c>
    </row>
    <row r="91" spans="1:3" x14ac:dyDescent="0.25">
      <c r="A91" s="26">
        <v>1783</v>
      </c>
      <c r="B91" s="22" t="s">
        <v>303</v>
      </c>
      <c r="C91" s="27">
        <v>20</v>
      </c>
    </row>
    <row r="92" spans="1:3" x14ac:dyDescent="0.25">
      <c r="A92" s="29">
        <v>1783</v>
      </c>
      <c r="B92" s="29" t="s">
        <v>302</v>
      </c>
      <c r="C92" s="29">
        <v>20</v>
      </c>
    </row>
    <row r="93" spans="1:3" x14ac:dyDescent="0.25">
      <c r="A93" s="23">
        <v>1785</v>
      </c>
      <c r="B93" s="23" t="s">
        <v>25</v>
      </c>
      <c r="C93" s="23">
        <v>200</v>
      </c>
    </row>
    <row r="94" spans="1:3" x14ac:dyDescent="0.25">
      <c r="A94" s="26">
        <v>1785</v>
      </c>
      <c r="B94" s="22" t="s">
        <v>303</v>
      </c>
      <c r="C94" s="27">
        <v>200</v>
      </c>
    </row>
    <row r="95" spans="1:3" x14ac:dyDescent="0.25">
      <c r="A95" s="29">
        <v>1785</v>
      </c>
      <c r="B95" s="29" t="s">
        <v>302</v>
      </c>
      <c r="C95" s="29">
        <v>200</v>
      </c>
    </row>
    <row r="96" spans="1:3" x14ac:dyDescent="0.25">
      <c r="A96" s="23">
        <v>1787</v>
      </c>
      <c r="B96" s="23" t="s">
        <v>25</v>
      </c>
      <c r="C96" s="23">
        <v>100</v>
      </c>
    </row>
    <row r="97" spans="1:3" x14ac:dyDescent="0.25">
      <c r="A97" s="26">
        <v>1787</v>
      </c>
      <c r="B97" s="22" t="s">
        <v>303</v>
      </c>
      <c r="C97" s="27">
        <v>100</v>
      </c>
    </row>
    <row r="98" spans="1:3" x14ac:dyDescent="0.25">
      <c r="A98" s="29">
        <v>1787</v>
      </c>
      <c r="B98" s="29" t="s">
        <v>302</v>
      </c>
      <c r="C98" s="29">
        <v>100</v>
      </c>
    </row>
    <row r="99" spans="1:3" x14ac:dyDescent="0.25">
      <c r="A99" s="23">
        <v>1789</v>
      </c>
      <c r="B99" s="23" t="s">
        <v>25</v>
      </c>
      <c r="C99" s="23">
        <v>50</v>
      </c>
    </row>
    <row r="100" spans="1:3" x14ac:dyDescent="0.25">
      <c r="A100" s="26">
        <v>1789</v>
      </c>
      <c r="B100" s="22" t="s">
        <v>303</v>
      </c>
      <c r="C100" s="27">
        <v>50</v>
      </c>
    </row>
    <row r="101" spans="1:3" x14ac:dyDescent="0.25">
      <c r="A101" s="29">
        <v>1789</v>
      </c>
      <c r="B101" s="29" t="s">
        <v>302</v>
      </c>
      <c r="C101" s="29">
        <v>50</v>
      </c>
    </row>
    <row r="102" spans="1:3" x14ac:dyDescent="0.25">
      <c r="A102" s="23">
        <v>1791</v>
      </c>
      <c r="B102" s="23" t="s">
        <v>25</v>
      </c>
      <c r="C102" s="23">
        <v>25</v>
      </c>
    </row>
    <row r="103" spans="1:3" x14ac:dyDescent="0.25">
      <c r="A103" s="26">
        <v>1791</v>
      </c>
      <c r="B103" s="22" t="s">
        <v>303</v>
      </c>
      <c r="C103" s="27">
        <v>25</v>
      </c>
    </row>
    <row r="104" spans="1:3" x14ac:dyDescent="0.25">
      <c r="A104" s="29">
        <v>1791</v>
      </c>
      <c r="B104" s="29" t="s">
        <v>302</v>
      </c>
      <c r="C104" s="29">
        <v>25</v>
      </c>
    </row>
    <row r="105" spans="1:3" x14ac:dyDescent="0.25">
      <c r="A105" s="23">
        <v>1793</v>
      </c>
      <c r="B105" s="23" t="s">
        <v>25</v>
      </c>
      <c r="C105" s="23">
        <v>20</v>
      </c>
    </row>
    <row r="106" spans="1:3" x14ac:dyDescent="0.25">
      <c r="A106" s="26">
        <v>1793</v>
      </c>
      <c r="B106" s="22" t="s">
        <v>303</v>
      </c>
      <c r="C106" s="27">
        <v>20</v>
      </c>
    </row>
    <row r="107" spans="1:3" x14ac:dyDescent="0.25">
      <c r="A107" s="29">
        <v>1793</v>
      </c>
      <c r="B107" s="29" t="s">
        <v>302</v>
      </c>
      <c r="C107" s="29">
        <v>20</v>
      </c>
    </row>
    <row r="108" spans="1:3" x14ac:dyDescent="0.25">
      <c r="A108" s="23">
        <v>1795</v>
      </c>
      <c r="B108" s="23" t="s">
        <v>25</v>
      </c>
      <c r="C108" s="23">
        <v>110</v>
      </c>
    </row>
    <row r="109" spans="1:3" x14ac:dyDescent="0.25">
      <c r="A109" s="26">
        <v>1795</v>
      </c>
      <c r="B109" s="22" t="s">
        <v>303</v>
      </c>
      <c r="C109" s="27">
        <v>110</v>
      </c>
    </row>
    <row r="110" spans="1:3" x14ac:dyDescent="0.25">
      <c r="A110" s="29">
        <v>1795</v>
      </c>
      <c r="B110" s="29" t="s">
        <v>302</v>
      </c>
      <c r="C110" s="29">
        <v>110</v>
      </c>
    </row>
    <row r="111" spans="1:3" x14ac:dyDescent="0.25">
      <c r="A111" s="24" t="s">
        <v>249</v>
      </c>
      <c r="B111" s="23" t="s">
        <v>21</v>
      </c>
      <c r="C111" s="25">
        <v>99.91</v>
      </c>
    </row>
    <row r="112" spans="1:3" x14ac:dyDescent="0.25">
      <c r="A112" s="28">
        <v>1797</v>
      </c>
      <c r="B112" s="22" t="s">
        <v>304</v>
      </c>
      <c r="C112" s="27">
        <v>100</v>
      </c>
    </row>
    <row r="113" spans="1:3" x14ac:dyDescent="0.25">
      <c r="A113" s="29">
        <v>1797</v>
      </c>
      <c r="B113" s="29" t="s">
        <v>302</v>
      </c>
      <c r="C113" s="29">
        <v>100</v>
      </c>
    </row>
    <row r="114" spans="1:3" x14ac:dyDescent="0.25">
      <c r="A114" s="24" t="s">
        <v>269</v>
      </c>
      <c r="B114" s="23" t="s">
        <v>15</v>
      </c>
      <c r="C114" s="25">
        <v>49.91</v>
      </c>
    </row>
    <row r="115" spans="1:3" x14ac:dyDescent="0.25">
      <c r="A115" s="26">
        <v>1798</v>
      </c>
      <c r="B115" s="22" t="s">
        <v>305</v>
      </c>
      <c r="C115" s="27">
        <v>50</v>
      </c>
    </row>
    <row r="116" spans="1:3" x14ac:dyDescent="0.25">
      <c r="A116" s="29">
        <v>1798</v>
      </c>
      <c r="B116" s="29" t="s">
        <v>302</v>
      </c>
      <c r="C116" s="29">
        <v>50</v>
      </c>
    </row>
  </sheetData>
  <sortState ref="A19:C116">
    <sortCondition ref="A19:A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DNP</vt:lpstr>
      <vt:lpstr>QP</vt:lpstr>
      <vt:lpstr>QP1</vt:lpstr>
      <vt:lpstr>DF</vt:lpstr>
      <vt:lpstr>DGSDNP</vt:lpstr>
      <vt:lpstr>DGSQP</vt:lpstr>
      <vt:lpstr>DGSQP1</vt:lpstr>
      <vt:lpstr>RECON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</dc:creator>
  <cp:lastModifiedBy>amber</cp:lastModifiedBy>
  <dcterms:created xsi:type="dcterms:W3CDTF">2013-03-21T20:59:59Z</dcterms:created>
  <dcterms:modified xsi:type="dcterms:W3CDTF">2013-03-22T22:05:52Z</dcterms:modified>
</cp:coreProperties>
</file>