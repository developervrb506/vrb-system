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770" activeTab="2"/>
  </bookViews>
  <sheets>
    <sheet name="payout balances 521" sheetId="2" r:id="rId1"/>
    <sheet name="payout balances 522" sheetId="4" r:id="rId2"/>
    <sheet name="payout balances 523" sheetId="5" r:id="rId3"/>
    <sheet name="Sheet3" sheetId="3" r:id="rId4"/>
  </sheets>
  <calcPr calcId="124519"/>
</workbook>
</file>

<file path=xl/calcChain.xml><?xml version="1.0" encoding="utf-8"?>
<calcChain xmlns="http://schemas.openxmlformats.org/spreadsheetml/2006/main">
  <c r="C5" i="5"/>
  <c r="C14"/>
  <c r="C18" i="3"/>
  <c r="B14" i="5"/>
  <c r="D11"/>
  <c r="D10"/>
  <c r="D9"/>
  <c r="D7"/>
  <c r="D6"/>
  <c r="D5"/>
  <c r="D4"/>
  <c r="H18" i="3"/>
  <c r="F18"/>
  <c r="C8" i="4"/>
  <c r="C11"/>
  <c r="D11" s="1"/>
  <c r="C14" i="2"/>
  <c r="B14" i="4"/>
  <c r="D10"/>
  <c r="D9"/>
  <c r="D8"/>
  <c r="D7"/>
  <c r="D6"/>
  <c r="D5"/>
  <c r="C14"/>
  <c r="C4" i="2"/>
  <c r="B14"/>
  <c r="D5"/>
  <c r="D6"/>
  <c r="D7"/>
  <c r="D8"/>
  <c r="D9"/>
  <c r="D10"/>
  <c r="D11"/>
  <c r="C8"/>
  <c r="D4"/>
  <c r="D14" s="1"/>
  <c r="D14" i="5" l="1"/>
  <c r="D8"/>
  <c r="D4" i="4"/>
  <c r="D14" s="1"/>
</calcChain>
</file>

<file path=xl/sharedStrings.xml><?xml version="1.0" encoding="utf-8"?>
<sst xmlns="http://schemas.openxmlformats.org/spreadsheetml/2006/main" count="42" uniqueCount="14">
  <si>
    <t>WU PERU LUCIANO</t>
  </si>
  <si>
    <t>WU PANAMA MAR</t>
  </si>
  <si>
    <t>WU DANIEL</t>
  </si>
  <si>
    <t xml:space="preserve">WU PANAMA  </t>
  </si>
  <si>
    <t>WU PERU C</t>
  </si>
  <si>
    <t>MG GEO</t>
  </si>
  <si>
    <t>MG W</t>
  </si>
  <si>
    <t>MG GAB</t>
  </si>
  <si>
    <t>TOTAL PAYOUTS</t>
  </si>
  <si>
    <t>REMAINDER BALANCE</t>
  </si>
  <si>
    <t>INTIAL BALANCE</t>
  </si>
  <si>
    <t>TOTALS</t>
  </si>
  <si>
    <t>PROCESSOR</t>
  </si>
  <si>
    <t>BALANCE REPORT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</si>
</sst>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44" fontId="0" fillId="0" borderId="2" xfId="0" applyNumberFormat="1" applyBorder="1"/>
    <xf numFmtId="44" fontId="0" fillId="0" borderId="3" xfId="0" applyNumberFormat="1" applyBorder="1"/>
    <xf numFmtId="0" fontId="0" fillId="0" borderId="4" xfId="0" applyBorder="1"/>
    <xf numFmtId="44" fontId="0" fillId="0" borderId="0" xfId="1" applyFont="1" applyBorder="1"/>
    <xf numFmtId="0" fontId="0" fillId="0" borderId="0" xfId="0" applyBorder="1"/>
    <xf numFmtId="44" fontId="0" fillId="0" borderId="5" xfId="0" applyNumberFormat="1" applyBorder="1"/>
    <xf numFmtId="0" fontId="0" fillId="0" borderId="6" xfId="0" applyBorder="1"/>
    <xf numFmtId="44" fontId="0" fillId="0" borderId="7" xfId="1" applyFont="1" applyBorder="1"/>
    <xf numFmtId="0" fontId="0" fillId="0" borderId="7" xfId="0" applyBorder="1"/>
    <xf numFmtId="44" fontId="0" fillId="0" borderId="8" xfId="0" applyNumberFormat="1" applyBorder="1"/>
    <xf numFmtId="44" fontId="0" fillId="0" borderId="2" xfId="1" applyFont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0" xfId="0" applyFont="1"/>
    <xf numFmtId="16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C11" sqref="C11"/>
    </sheetView>
  </sheetViews>
  <sheetFormatPr defaultRowHeight="15"/>
  <cols>
    <col min="1" max="1" width="23.7109375" customWidth="1"/>
    <col min="2" max="2" width="17.85546875" customWidth="1"/>
    <col min="3" max="3" width="15.28515625" bestFit="1" customWidth="1"/>
    <col min="4" max="4" width="27.5703125" bestFit="1" customWidth="1"/>
  </cols>
  <sheetData>
    <row r="1" spans="1:4">
      <c r="A1" s="1" t="s">
        <v>13</v>
      </c>
    </row>
    <row r="2" spans="1:4" ht="15.75" thickBot="1"/>
    <row r="3" spans="1:4" ht="30" customHeight="1" thickBot="1">
      <c r="A3" s="4" t="s">
        <v>12</v>
      </c>
      <c r="B3" s="5" t="s">
        <v>10</v>
      </c>
      <c r="C3" s="5" t="s">
        <v>8</v>
      </c>
      <c r="D3" s="6" t="s">
        <v>9</v>
      </c>
    </row>
    <row r="4" spans="1:4" ht="30" customHeight="1">
      <c r="A4" s="9" t="s">
        <v>0</v>
      </c>
      <c r="B4" s="10">
        <v>32318.73</v>
      </c>
      <c r="C4" s="11">
        <f>-150-1075-1075</f>
        <v>-2300</v>
      </c>
      <c r="D4" s="12">
        <f>SUM(B4+C4)</f>
        <v>30018.73</v>
      </c>
    </row>
    <row r="5" spans="1:4" ht="30" customHeight="1">
      <c r="A5" s="9" t="s">
        <v>1</v>
      </c>
      <c r="B5" s="10">
        <v>29102.57</v>
      </c>
      <c r="C5" s="11"/>
      <c r="D5" s="12">
        <f t="shared" ref="D5:D11" si="0">SUM(B5+C5)</f>
        <v>29102.57</v>
      </c>
    </row>
    <row r="6" spans="1:4" ht="30" customHeight="1">
      <c r="A6" s="9" t="s">
        <v>2</v>
      </c>
      <c r="B6" s="10">
        <v>999</v>
      </c>
      <c r="C6" s="11"/>
      <c r="D6" s="12">
        <f t="shared" si="0"/>
        <v>999</v>
      </c>
    </row>
    <row r="7" spans="1:4" ht="30" customHeight="1">
      <c r="A7" s="9" t="s">
        <v>3</v>
      </c>
      <c r="B7" s="10">
        <v>470.26</v>
      </c>
      <c r="C7" s="11"/>
      <c r="D7" s="12">
        <f t="shared" si="0"/>
        <v>470.26</v>
      </c>
    </row>
    <row r="8" spans="1:4" ht="30" customHeight="1">
      <c r="A8" s="9" t="s">
        <v>4</v>
      </c>
      <c r="B8" s="10">
        <v>3069.39</v>
      </c>
      <c r="C8" s="11">
        <f>-1223-1590-80.61-9.39</f>
        <v>-2903</v>
      </c>
      <c r="D8" s="12">
        <f t="shared" si="0"/>
        <v>166.38999999999987</v>
      </c>
    </row>
    <row r="9" spans="1:4" ht="30" customHeight="1">
      <c r="A9" s="9" t="s">
        <v>5</v>
      </c>
      <c r="B9" s="10">
        <v>1248</v>
      </c>
      <c r="C9" s="11"/>
      <c r="D9" s="12">
        <f t="shared" si="0"/>
        <v>1248</v>
      </c>
    </row>
    <row r="10" spans="1:4" ht="30" customHeight="1">
      <c r="A10" s="9" t="s">
        <v>6</v>
      </c>
      <c r="B10" s="10">
        <v>12266.6</v>
      </c>
      <c r="C10" s="11"/>
      <c r="D10" s="12">
        <f t="shared" si="0"/>
        <v>12266.6</v>
      </c>
    </row>
    <row r="11" spans="1:4" ht="30" customHeight="1" thickBot="1">
      <c r="A11" s="13" t="s">
        <v>7</v>
      </c>
      <c r="B11" s="14">
        <v>25535.599999999999</v>
      </c>
      <c r="C11" s="15"/>
      <c r="D11" s="16">
        <f t="shared" si="0"/>
        <v>25535.599999999999</v>
      </c>
    </row>
    <row r="13" spans="1:4" ht="15.75" thickBot="1"/>
    <row r="14" spans="1:4" ht="15.75" thickBot="1">
      <c r="A14" s="2" t="s">
        <v>11</v>
      </c>
      <c r="B14" s="7">
        <f>SUM(B4:B13)</f>
        <v>105010.15000000002</v>
      </c>
      <c r="C14" s="3">
        <f>SUM(C4:C13)</f>
        <v>-5203</v>
      </c>
      <c r="D14" s="8">
        <f>SUM(D4:D13)</f>
        <v>99807.15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B9" sqref="B9"/>
    </sheetView>
  </sheetViews>
  <sheetFormatPr defaultRowHeight="15"/>
  <cols>
    <col min="1" max="1" width="23.7109375" customWidth="1"/>
    <col min="2" max="2" width="17.85546875" customWidth="1"/>
    <col min="3" max="3" width="15.28515625" bestFit="1" customWidth="1"/>
    <col min="4" max="4" width="27.5703125" bestFit="1" customWidth="1"/>
  </cols>
  <sheetData>
    <row r="1" spans="1:4">
      <c r="A1" s="21" t="s">
        <v>13</v>
      </c>
      <c r="B1" s="22">
        <v>41051</v>
      </c>
    </row>
    <row r="2" spans="1:4" ht="15.75" thickBot="1"/>
    <row r="3" spans="1:4" ht="30" customHeight="1" thickBot="1">
      <c r="A3" s="18" t="s">
        <v>12</v>
      </c>
      <c r="B3" s="19" t="s">
        <v>10</v>
      </c>
      <c r="C3" s="19" t="s">
        <v>8</v>
      </c>
      <c r="D3" s="20" t="s">
        <v>9</v>
      </c>
    </row>
    <row r="4" spans="1:4" ht="30" customHeight="1">
      <c r="A4" s="9" t="s">
        <v>0</v>
      </c>
      <c r="B4" s="10">
        <v>31042.73</v>
      </c>
      <c r="C4" s="10"/>
      <c r="D4" s="12">
        <f>SUM(B4+C4)</f>
        <v>31042.73</v>
      </c>
    </row>
    <row r="5" spans="1:4" ht="30" customHeight="1">
      <c r="A5" s="9" t="s">
        <v>1</v>
      </c>
      <c r="B5" s="10">
        <v>29102.57</v>
      </c>
      <c r="C5" s="10"/>
      <c r="D5" s="12">
        <f t="shared" ref="D5:D11" si="0">SUM(B5+C5)</f>
        <v>29102.57</v>
      </c>
    </row>
    <row r="6" spans="1:4" ht="30" customHeight="1">
      <c r="A6" s="9" t="s">
        <v>2</v>
      </c>
      <c r="B6" s="10">
        <v>999</v>
      </c>
      <c r="C6" s="10"/>
      <c r="D6" s="12">
        <f t="shared" si="0"/>
        <v>999</v>
      </c>
    </row>
    <row r="7" spans="1:4" ht="30" customHeight="1">
      <c r="A7" s="9" t="s">
        <v>3</v>
      </c>
      <c r="B7" s="10">
        <v>470.26</v>
      </c>
      <c r="C7" s="10"/>
      <c r="D7" s="12">
        <f t="shared" si="0"/>
        <v>470.26</v>
      </c>
    </row>
    <row r="8" spans="1:4" ht="30" customHeight="1">
      <c r="A8" s="9" t="s">
        <v>4</v>
      </c>
      <c r="B8" s="10">
        <v>1068.58</v>
      </c>
      <c r="C8" s="10">
        <f>-500-46</f>
        <v>-546</v>
      </c>
      <c r="D8" s="12">
        <f t="shared" si="0"/>
        <v>522.57999999999993</v>
      </c>
    </row>
    <row r="9" spans="1:4" ht="30" customHeight="1">
      <c r="A9" s="9" t="s">
        <v>5</v>
      </c>
      <c r="B9" s="10">
        <v>1248</v>
      </c>
      <c r="C9" s="10"/>
      <c r="D9" s="12">
        <f t="shared" si="0"/>
        <v>1248</v>
      </c>
    </row>
    <row r="10" spans="1:4" ht="30" customHeight="1">
      <c r="A10" s="9" t="s">
        <v>6</v>
      </c>
      <c r="B10" s="10">
        <v>7547.1</v>
      </c>
      <c r="C10" s="10"/>
      <c r="D10" s="12">
        <f t="shared" si="0"/>
        <v>7547.1</v>
      </c>
    </row>
    <row r="11" spans="1:4" ht="30" customHeight="1" thickBot="1">
      <c r="A11" s="13" t="s">
        <v>7</v>
      </c>
      <c r="B11" s="14">
        <v>16577.599999999999</v>
      </c>
      <c r="C11" s="14">
        <f>-800-65</f>
        <v>-865</v>
      </c>
      <c r="D11" s="16">
        <f t="shared" si="0"/>
        <v>15712.599999999999</v>
      </c>
    </row>
    <row r="13" spans="1:4" ht="15.75" thickBot="1"/>
    <row r="14" spans="1:4" ht="15.75" thickBot="1">
      <c r="A14" s="2" t="s">
        <v>11</v>
      </c>
      <c r="B14" s="7">
        <f>SUM(B4:B13)</f>
        <v>88055.84</v>
      </c>
      <c r="C14" s="17">
        <f>SUM(C4:C13)</f>
        <v>-1411</v>
      </c>
      <c r="D14" s="8">
        <f>SUM(D4:D13)</f>
        <v>86644.84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>
      <selection activeCell="D7" sqref="D7"/>
    </sheetView>
  </sheetViews>
  <sheetFormatPr defaultRowHeight="15"/>
  <cols>
    <col min="1" max="1" width="23.7109375" customWidth="1"/>
    <col min="2" max="2" width="17.85546875" customWidth="1"/>
    <col min="3" max="3" width="15.28515625" bestFit="1" customWidth="1"/>
    <col min="4" max="4" width="27.5703125" bestFit="1" customWidth="1"/>
  </cols>
  <sheetData>
    <row r="1" spans="1:4">
      <c r="A1" s="21" t="s">
        <v>13</v>
      </c>
      <c r="B1" s="22">
        <v>41052</v>
      </c>
    </row>
    <row r="2" spans="1:4" ht="15.75" thickBot="1"/>
    <row r="3" spans="1:4" ht="30" customHeight="1" thickBot="1">
      <c r="A3" s="18" t="s">
        <v>12</v>
      </c>
      <c r="B3" s="19" t="s">
        <v>10</v>
      </c>
      <c r="C3" s="19" t="s">
        <v>8</v>
      </c>
      <c r="D3" s="20" t="s">
        <v>9</v>
      </c>
    </row>
    <row r="4" spans="1:4" ht="30" customHeight="1">
      <c r="A4" s="9" t="s">
        <v>0</v>
      </c>
      <c r="B4" s="10">
        <v>31314.58</v>
      </c>
      <c r="C4" s="10">
        <v>-1590</v>
      </c>
      <c r="D4" s="12">
        <f>SUM(B4+C4)</f>
        <v>29724.58</v>
      </c>
    </row>
    <row r="5" spans="1:4" ht="30" customHeight="1">
      <c r="A5" s="9" t="s">
        <v>1</v>
      </c>
      <c r="B5" s="10">
        <v>30047.57</v>
      </c>
      <c r="C5" s="10">
        <f>-1590-1235-1610-1690-1075</f>
        <v>-7200</v>
      </c>
      <c r="D5" s="12">
        <f t="shared" ref="D5:D11" si="0">SUM(B5+C5)</f>
        <v>22847.57</v>
      </c>
    </row>
    <row r="6" spans="1:4" ht="30" customHeight="1">
      <c r="A6" s="9" t="s">
        <v>2</v>
      </c>
      <c r="B6" s="10">
        <v>999</v>
      </c>
      <c r="C6" s="10"/>
      <c r="D6" s="12">
        <f t="shared" si="0"/>
        <v>999</v>
      </c>
    </row>
    <row r="7" spans="1:4" ht="30" customHeight="1">
      <c r="A7" s="9" t="s">
        <v>3</v>
      </c>
      <c r="B7" s="10">
        <v>470.26</v>
      </c>
      <c r="C7" s="10"/>
      <c r="D7" s="12">
        <f t="shared" si="0"/>
        <v>470.26</v>
      </c>
    </row>
    <row r="8" spans="1:4" ht="30" customHeight="1">
      <c r="A8" s="9" t="s">
        <v>4</v>
      </c>
      <c r="B8" s="10">
        <v>2103.5300000000002</v>
      </c>
      <c r="C8" s="10"/>
      <c r="D8" s="12">
        <f t="shared" si="0"/>
        <v>2103.5300000000002</v>
      </c>
    </row>
    <row r="9" spans="1:4" ht="30" customHeight="1">
      <c r="A9" s="9" t="s">
        <v>5</v>
      </c>
      <c r="B9" s="10">
        <v>415</v>
      </c>
      <c r="C9" s="10"/>
      <c r="D9" s="12">
        <f t="shared" si="0"/>
        <v>415</v>
      </c>
    </row>
    <row r="10" spans="1:4" ht="30" customHeight="1">
      <c r="A10" s="9" t="s">
        <v>6</v>
      </c>
      <c r="B10" s="10">
        <v>7840.6</v>
      </c>
      <c r="C10" s="10"/>
      <c r="D10" s="12">
        <f t="shared" si="0"/>
        <v>7840.6</v>
      </c>
    </row>
    <row r="11" spans="1:4" ht="30" customHeight="1" thickBot="1">
      <c r="A11" s="13" t="s">
        <v>7</v>
      </c>
      <c r="B11" s="14">
        <v>14948.6</v>
      </c>
      <c r="C11" s="14">
        <v>-546</v>
      </c>
      <c r="D11" s="16">
        <f t="shared" si="0"/>
        <v>14402.6</v>
      </c>
    </row>
    <row r="13" spans="1:4" ht="15.75" thickBot="1"/>
    <row r="14" spans="1:4" ht="15.75" thickBot="1">
      <c r="A14" s="2" t="s">
        <v>11</v>
      </c>
      <c r="B14" s="7">
        <f>SUM(B4:B13)</f>
        <v>88139.140000000014</v>
      </c>
      <c r="C14" s="17">
        <f>SUM(C4:C13)</f>
        <v>-9336</v>
      </c>
      <c r="D14" s="8">
        <f>SUM(D4:D13)</f>
        <v>78803.14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C16:H18"/>
  <sheetViews>
    <sheetView workbookViewId="0">
      <selection activeCell="C19" sqref="C19"/>
    </sheetView>
  </sheetViews>
  <sheetFormatPr defaultRowHeight="15"/>
  <sheetData>
    <row r="16" spans="3:8">
      <c r="C16">
        <v>1248</v>
      </c>
      <c r="F16">
        <v>12266.6</v>
      </c>
      <c r="H16">
        <v>25535.599999999999</v>
      </c>
    </row>
    <row r="17" spans="3:8">
      <c r="C17">
        <v>-840</v>
      </c>
      <c r="F17">
        <v>-7547.1</v>
      </c>
      <c r="H17">
        <v>-16577.599999999999</v>
      </c>
    </row>
    <row r="18" spans="3:8">
      <c r="C18">
        <f>SUM(C16:C17)</f>
        <v>408</v>
      </c>
      <c r="F18">
        <f>SUM(F16:F17)</f>
        <v>4719.5</v>
      </c>
      <c r="H18">
        <f>SUM(H16:H17)</f>
        <v>8958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payout balances 521</vt:lpstr>
      <vt:lpstr>payout balances 522</vt:lpstr>
      <vt:lpstr>payout balances 523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install</cp:lastModifiedBy>
  <cp:lastPrinted>2012-05-23T15:56:09Z</cp:lastPrinted>
  <dcterms:created xsi:type="dcterms:W3CDTF">2012-05-21T13:42:50Z</dcterms:created>
  <dcterms:modified xsi:type="dcterms:W3CDTF">2012-05-23T15:58:48Z</dcterms:modified>
</cp:coreProperties>
</file>