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0115" windowHeight="9975"/>
  </bookViews>
  <sheets>
    <sheet name="SUMMARY" sheetId="1" r:id="rId1"/>
    <sheet name="DNP" sheetId="2" r:id="rId2"/>
    <sheet name="QP16 VIP" sheetId="3" r:id="rId3"/>
    <sheet name="QP18 NB" sheetId="4" r:id="rId4"/>
  </sheets>
  <externalReferences>
    <externalReference r:id="rId5"/>
  </externalReferences>
  <definedNames>
    <definedName name="_xlnm.Print_Area" localSheetId="0">SUMMARY!$A$1:$Q$34</definedName>
  </definedNames>
  <calcPr calcId="145621"/>
</workbook>
</file>

<file path=xl/calcChain.xml><?xml version="1.0" encoding="utf-8"?>
<calcChain xmlns="http://schemas.openxmlformats.org/spreadsheetml/2006/main">
  <c r="P19" i="4" l="1"/>
  <c r="B11" i="2"/>
  <c r="C11" i="2"/>
  <c r="D11" i="2"/>
  <c r="E11" i="2"/>
  <c r="F11" i="2"/>
  <c r="G11" i="2"/>
  <c r="H11" i="2"/>
  <c r="I11" i="2"/>
  <c r="E5" i="1"/>
  <c r="I5" i="1" s="1"/>
  <c r="D5" i="1"/>
  <c r="C5" i="1"/>
  <c r="F5" i="1" s="1"/>
  <c r="H17" i="4"/>
  <c r="G17" i="4"/>
  <c r="O17" i="4" s="1"/>
  <c r="H16" i="4"/>
  <c r="G16" i="4"/>
  <c r="O16" i="4" s="1"/>
  <c r="H15" i="4"/>
  <c r="G15" i="4"/>
  <c r="O15" i="4" s="1"/>
  <c r="H14" i="4"/>
  <c r="G14" i="4"/>
  <c r="O14" i="4" s="1"/>
  <c r="H13" i="4"/>
  <c r="G13" i="4"/>
  <c r="O13" i="4" s="1"/>
  <c r="H12" i="4"/>
  <c r="G12" i="4"/>
  <c r="O12" i="4" s="1"/>
  <c r="H11" i="4"/>
  <c r="G11" i="4"/>
  <c r="O11" i="4" s="1"/>
  <c r="H10" i="4"/>
  <c r="G10" i="4"/>
  <c r="O10" i="4" s="1"/>
  <c r="H9" i="4"/>
  <c r="G9" i="4"/>
  <c r="O9" i="4" s="1"/>
  <c r="H8" i="4"/>
  <c r="G8" i="4"/>
  <c r="O8" i="4" s="1"/>
  <c r="H7" i="4"/>
  <c r="G7" i="4"/>
  <c r="O7" i="4" s="1"/>
  <c r="H6" i="4"/>
  <c r="G6" i="4"/>
  <c r="O6" i="4" s="1"/>
  <c r="H5" i="4"/>
  <c r="G5" i="4"/>
  <c r="O5" i="4" s="1"/>
  <c r="E4" i="1"/>
  <c r="I4" i="1" s="1"/>
  <c r="D4" i="1"/>
  <c r="C4" i="1"/>
  <c r="O20" i="3"/>
  <c r="O19" i="3"/>
  <c r="H18" i="3"/>
  <c r="G18" i="3"/>
  <c r="O18" i="3" s="1"/>
  <c r="H17" i="3"/>
  <c r="G17" i="3"/>
  <c r="O17" i="3" s="1"/>
  <c r="H16" i="3"/>
  <c r="G16" i="3"/>
  <c r="O16" i="3" s="1"/>
  <c r="H15" i="3"/>
  <c r="G15" i="3"/>
  <c r="O15" i="3" s="1"/>
  <c r="H14" i="3"/>
  <c r="G14" i="3"/>
  <c r="O14" i="3" s="1"/>
  <c r="H13" i="3"/>
  <c r="G13" i="3"/>
  <c r="O13" i="3" s="1"/>
  <c r="O12" i="3"/>
  <c r="O11" i="3"/>
  <c r="H10" i="3"/>
  <c r="G10" i="3"/>
  <c r="O10" i="3" s="1"/>
  <c r="H9" i="3"/>
  <c r="G9" i="3"/>
  <c r="O9" i="3" s="1"/>
  <c r="O8" i="3"/>
  <c r="O7" i="3"/>
  <c r="O6" i="3"/>
  <c r="O5" i="3"/>
  <c r="O21" i="3" s="1"/>
  <c r="H5" i="3"/>
  <c r="E3" i="1"/>
  <c r="E7" i="1" s="1"/>
  <c r="I3" i="1"/>
  <c r="D3" i="1"/>
  <c r="D7" i="1" s="1"/>
  <c r="C3" i="1"/>
  <c r="F3" i="1" s="1"/>
  <c r="F9" i="2"/>
  <c r="E9" i="2"/>
  <c r="I9" i="2" s="1"/>
  <c r="F8" i="2"/>
  <c r="E8" i="2"/>
  <c r="I8" i="2" s="1"/>
  <c r="F7" i="2"/>
  <c r="E7" i="2"/>
  <c r="I7" i="2" s="1"/>
  <c r="F6" i="2"/>
  <c r="E6" i="2"/>
  <c r="I6" i="2" s="1"/>
  <c r="F5" i="2"/>
  <c r="E5" i="2"/>
  <c r="I5" i="2" s="1"/>
  <c r="F4" i="2"/>
  <c r="E4" i="2"/>
  <c r="I4" i="2" s="1"/>
  <c r="F3" i="2"/>
  <c r="E3" i="2"/>
  <c r="G2" i="2"/>
  <c r="E2" i="2"/>
  <c r="D2" i="2"/>
  <c r="F4" i="1" l="1"/>
  <c r="F7" i="1" s="1"/>
  <c r="I7" i="1"/>
  <c r="C7" i="1"/>
  <c r="I3" i="2"/>
  <c r="F2" i="2"/>
  <c r="I2" i="2" s="1"/>
</calcChain>
</file>

<file path=xl/sharedStrings.xml><?xml version="1.0" encoding="utf-8"?>
<sst xmlns="http://schemas.openxmlformats.org/spreadsheetml/2006/main" count="135" uniqueCount="89">
  <si>
    <t>INVOICE #</t>
  </si>
  <si>
    <t>PROCESSOR</t>
  </si>
  <si>
    <t>DF</t>
  </si>
  <si>
    <t>PROCESSED</t>
  </si>
  <si>
    <t>Disc Rate 7.75%</t>
  </si>
  <si>
    <t>HoldBack 10%</t>
  </si>
  <si>
    <t>TRANSACTION FEE</t>
  </si>
  <si>
    <t>WIRE FEE</t>
  </si>
  <si>
    <t>Net Wire Amount</t>
  </si>
  <si>
    <t>Settlement 0</t>
  </si>
  <si>
    <t>DNP</t>
  </si>
  <si>
    <t>PENDING</t>
  </si>
  <si>
    <t>Settlement 1</t>
  </si>
  <si>
    <t>Settlement 2</t>
  </si>
  <si>
    <t>Settlement 3</t>
  </si>
  <si>
    <t>Settlement 4</t>
  </si>
  <si>
    <t>Settlement 5</t>
  </si>
  <si>
    <t>Settlement 6</t>
  </si>
  <si>
    <t>Settlement 7</t>
  </si>
  <si>
    <t>DPN</t>
  </si>
  <si>
    <t>AMOUNT</t>
  </si>
  <si>
    <t>PROCCESED</t>
  </si>
  <si>
    <t>FEES</t>
  </si>
  <si>
    <t>ROLLING</t>
  </si>
  <si>
    <t>RESERVE</t>
  </si>
  <si>
    <t>ACCOUNTS</t>
  </si>
  <si>
    <t>RECEIVABLE</t>
  </si>
  <si>
    <t>QP16 VIP</t>
  </si>
  <si>
    <t>From Nov-01-12 To Feb-21-13</t>
  </si>
  <si>
    <t>Ref. Payment // Invoice No.</t>
  </si>
  <si>
    <t>Date</t>
  </si>
  <si>
    <t>Setup Fee</t>
  </si>
  <si>
    <t>Disc Rate 8.5%</t>
  </si>
  <si>
    <t>Refund</t>
  </si>
  <si>
    <t>Refund  fees</t>
  </si>
  <si>
    <t>Charge Back</t>
  </si>
  <si>
    <t>CB fee</t>
  </si>
  <si>
    <t>Inv. Amount (USD)</t>
  </si>
  <si>
    <t>Amount In Currency</t>
  </si>
  <si>
    <t>Settlement Amount (USD)</t>
  </si>
  <si>
    <t>Amount Received (USD)</t>
  </si>
  <si>
    <t>Balance (USD)</t>
  </si>
  <si>
    <t>Date Due Reserve</t>
  </si>
  <si>
    <t>Rolling Reserve (USD)</t>
  </si>
  <si>
    <t>R. Reserve Release (USD)</t>
  </si>
  <si>
    <t>Reserve Balance (USD)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</si>
  <si>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</si>
  <si>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</si>
  <si>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</si>
  <si>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</si>
  <si>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</si>
  <si>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</si>
  <si>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</si>
  <si>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</si>
  <si>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</si>
  <si>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1688</t>
  </si>
  <si>
    <t>1709</t>
  </si>
  <si>
    <t>1718</t>
  </si>
  <si>
    <t>1736</t>
  </si>
  <si>
    <t>1753</t>
  </si>
  <si>
    <t>1794</t>
  </si>
  <si>
    <t>1820</t>
  </si>
  <si>
    <t>Totals</t>
  </si>
  <si>
    <t/>
  </si>
  <si>
    <t>QP18 NB</t>
  </si>
  <si>
    <t>1670</t>
  </si>
  <si>
    <t>1671</t>
  </si>
  <si>
    <t>1672</t>
  </si>
  <si>
    <t>1673</t>
  </si>
  <si>
    <t>1674</t>
  </si>
  <si>
    <t>1675</t>
  </si>
  <si>
    <t>1689</t>
  </si>
  <si>
    <t>1710</t>
  </si>
  <si>
    <t>1719</t>
  </si>
  <si>
    <t>1737</t>
  </si>
  <si>
    <t>1754</t>
  </si>
  <si>
    <t>1795</t>
  </si>
  <si>
    <t>1819</t>
  </si>
  <si>
    <t>TOTALS</t>
  </si>
  <si>
    <t>This amount will be received 180 days after</t>
  </si>
  <si>
    <t>DNP  DF</t>
  </si>
  <si>
    <t>QP16 VIP DF</t>
  </si>
  <si>
    <t>QP18 NB DF</t>
  </si>
  <si>
    <t>NON SETTLE</t>
  </si>
  <si>
    <t>TRANSACTIONS</t>
  </si>
  <si>
    <t>FROM</t>
  </si>
  <si>
    <t>TO</t>
  </si>
  <si>
    <t>UP TO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</si>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</sst>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"/>
    <numFmt numFmtId="165" formatCode="###,###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NumberFormat="1" applyFont="1" applyFill="1" applyBorder="1" applyAlignment="1" applyProtection="1">
      <alignment vertical="top"/>
      <protection locked="0"/>
    </xf>
    <xf numFmtId="0" fontId="4" fillId="2" borderId="0" xfId="0" applyFont="1" applyFill="1"/>
    <xf numFmtId="44" fontId="4" fillId="2" borderId="0" xfId="1" applyFont="1" applyFill="1"/>
    <xf numFmtId="44" fontId="4" fillId="2" borderId="0" xfId="0" applyNumberFormat="1" applyFont="1" applyFill="1"/>
    <xf numFmtId="44" fontId="0" fillId="2" borderId="0" xfId="1" applyFont="1" applyFill="1"/>
    <xf numFmtId="44" fontId="0" fillId="0" borderId="0" xfId="1" applyFont="1"/>
    <xf numFmtId="44" fontId="0" fillId="0" borderId="0" xfId="0" applyNumberFormat="1"/>
    <xf numFmtId="44" fontId="0" fillId="3" borderId="0" xfId="1" applyFont="1" applyFill="1"/>
    <xf numFmtId="44" fontId="0" fillId="4" borderId="0" xfId="1" applyFont="1" applyFill="1"/>
    <xf numFmtId="44" fontId="0" fillId="5" borderId="0" xfId="1" applyFont="1" applyFill="1"/>
    <xf numFmtId="44" fontId="0" fillId="6" borderId="0" xfId="1" applyFont="1" applyFill="1"/>
    <xf numFmtId="44" fontId="0" fillId="7" borderId="0" xfId="1" applyFont="1" applyFill="1"/>
    <xf numFmtId="8" fontId="0" fillId="8" borderId="0" xfId="0" applyNumberFormat="1" applyFill="1"/>
    <xf numFmtId="0" fontId="0" fillId="0" borderId="0" xfId="0" applyAlignment="1" applyProtection="1"/>
    <xf numFmtId="164" fontId="0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 applyFont="1" applyFill="1" applyBorder="1" applyAlignment="1" applyProtection="1">
      <alignment vertical="top"/>
      <protection locked="0"/>
    </xf>
    <xf numFmtId="165" fontId="3" fillId="0" borderId="0" xfId="0" applyNumberFormat="1" applyFont="1" applyFill="1" applyBorder="1" applyAlignment="1" applyProtection="1">
      <alignment vertical="top"/>
      <protection locked="0"/>
    </xf>
    <xf numFmtId="16" fontId="0" fillId="0" borderId="0" xfId="0" applyNumberFormat="1"/>
    <xf numFmtId="16" fontId="0" fillId="2" borderId="4" xfId="0" applyNumberFormat="1" applyFill="1" applyBorder="1"/>
    <xf numFmtId="16" fontId="0" fillId="2" borderId="0" xfId="0" applyNumberFormat="1" applyFill="1" applyBorder="1"/>
    <xf numFmtId="44" fontId="0" fillId="2" borderId="5" xfId="1" applyFont="1" applyFill="1" applyBorder="1"/>
    <xf numFmtId="16" fontId="0" fillId="2" borderId="6" xfId="0" applyNumberFormat="1" applyFill="1" applyBorder="1"/>
    <xf numFmtId="16" fontId="0" fillId="2" borderId="7" xfId="0" applyNumberFormat="1" applyFill="1" applyBorder="1"/>
    <xf numFmtId="44" fontId="0" fillId="2" borderId="8" xfId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0" xfId="0" applyFont="1"/>
    <xf numFmtId="44" fontId="3" fillId="0" borderId="0" xfId="0" applyNumberFormat="1" applyFont="1"/>
    <xf numFmtId="44" fontId="3" fillId="0" borderId="0" xfId="1" applyFont="1"/>
    <xf numFmtId="165" fontId="0" fillId="0" borderId="0" xfId="0" applyNumberForma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95250</xdr:rowOff>
    </xdr:from>
    <xdr:to>
      <xdr:col>4</xdr:col>
      <xdr:colOff>85725</xdr:colOff>
      <xdr:row>25</xdr:row>
      <xdr:rowOff>92939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0275"/>
          <a:ext cx="3152775" cy="2664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161925</xdr:rowOff>
    </xdr:from>
    <xdr:to>
      <xdr:col>4</xdr:col>
      <xdr:colOff>104775</xdr:colOff>
      <xdr:row>32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"/>
          <a:ext cx="317182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695325</xdr:colOff>
      <xdr:row>11</xdr:row>
      <xdr:rowOff>57151</xdr:rowOff>
    </xdr:from>
    <xdr:to>
      <xdr:col>9</xdr:col>
      <xdr:colOff>276225</xdr:colOff>
      <xdr:row>25</xdr:row>
      <xdr:rowOff>104775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162176"/>
          <a:ext cx="3457575" cy="2714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657225</xdr:colOff>
      <xdr:row>26</xdr:row>
      <xdr:rowOff>0</xdr:rowOff>
    </xdr:from>
    <xdr:to>
      <xdr:col>9</xdr:col>
      <xdr:colOff>390525</xdr:colOff>
      <xdr:row>33</xdr:row>
      <xdr:rowOff>142875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4953000"/>
          <a:ext cx="360997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</xdr:colOff>
      <xdr:row>25</xdr:row>
      <xdr:rowOff>76200</xdr:rowOff>
    </xdr:from>
    <xdr:to>
      <xdr:col>16</xdr:col>
      <xdr:colOff>190500</xdr:colOff>
      <xdr:row>33</xdr:row>
      <xdr:rowOff>150752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4848225"/>
          <a:ext cx="3609975" cy="1598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10</xdr:row>
      <xdr:rowOff>171450</xdr:rowOff>
    </xdr:from>
    <xdr:to>
      <xdr:col>16</xdr:col>
      <xdr:colOff>171450</xdr:colOff>
      <xdr:row>25</xdr:row>
      <xdr:rowOff>85725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2076450"/>
          <a:ext cx="3533775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ber/Desktop/mike/SETTLEMENT%20REC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P"/>
      <sheetName val="QPPMT16"/>
      <sheetName val="QPPMT18"/>
      <sheetName val="TOTAL"/>
      <sheetName val="DF"/>
      <sheetName val="DNP SETTLEMENT"/>
      <sheetName val="QPPMT16 SETTLEMENT"/>
      <sheetName val="QPPMT18 SETTLEMENT"/>
      <sheetName val="DNPDFDETAIL"/>
      <sheetName val="DNP 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3">
          <cell r="P133">
            <v>50</v>
          </cell>
        </row>
        <row r="134">
          <cell r="P134">
            <v>150</v>
          </cell>
        </row>
        <row r="135">
          <cell r="P135">
            <v>120</v>
          </cell>
        </row>
        <row r="136">
          <cell r="P136">
            <v>250</v>
          </cell>
        </row>
        <row r="137">
          <cell r="P137">
            <v>50</v>
          </cell>
        </row>
        <row r="138">
          <cell r="P138">
            <v>80</v>
          </cell>
        </row>
        <row r="139">
          <cell r="P139">
            <v>100</v>
          </cell>
        </row>
        <row r="140">
          <cell r="P140">
            <v>50</v>
          </cell>
        </row>
        <row r="141">
          <cell r="P141">
            <v>120</v>
          </cell>
        </row>
        <row r="142">
          <cell r="P142">
            <v>100</v>
          </cell>
        </row>
        <row r="143">
          <cell r="P143">
            <v>80</v>
          </cell>
        </row>
        <row r="144">
          <cell r="P144">
            <v>50</v>
          </cell>
        </row>
        <row r="145">
          <cell r="P145">
            <v>100</v>
          </cell>
        </row>
        <row r="146">
          <cell r="P146">
            <v>400</v>
          </cell>
        </row>
        <row r="147">
          <cell r="P147">
            <v>50</v>
          </cell>
        </row>
        <row r="148">
          <cell r="P148">
            <v>50</v>
          </cell>
        </row>
        <row r="149">
          <cell r="P149">
            <v>50</v>
          </cell>
        </row>
        <row r="150">
          <cell r="P150">
            <v>500</v>
          </cell>
        </row>
        <row r="151">
          <cell r="P151">
            <v>350</v>
          </cell>
        </row>
        <row r="152">
          <cell r="P152">
            <v>150</v>
          </cell>
        </row>
        <row r="153">
          <cell r="P153">
            <v>250</v>
          </cell>
        </row>
        <row r="154">
          <cell r="P154">
            <v>100</v>
          </cell>
        </row>
        <row r="155">
          <cell r="P155">
            <v>100</v>
          </cell>
        </row>
        <row r="156">
          <cell r="P156">
            <v>100</v>
          </cell>
        </row>
        <row r="157">
          <cell r="P157">
            <v>100</v>
          </cell>
        </row>
        <row r="158">
          <cell r="P158">
            <v>250</v>
          </cell>
        </row>
        <row r="159">
          <cell r="P159">
            <v>100</v>
          </cell>
        </row>
        <row r="160">
          <cell r="P160">
            <v>250</v>
          </cell>
        </row>
        <row r="161">
          <cell r="P161">
            <v>250</v>
          </cell>
        </row>
        <row r="162">
          <cell r="P162">
            <v>250</v>
          </cell>
        </row>
        <row r="163">
          <cell r="P163">
            <v>250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Q34" sqref="A1:Q34"/>
    </sheetView>
  </sheetViews>
  <sheetFormatPr defaultRowHeight="15" x14ac:dyDescent="0.25"/>
  <cols>
    <col min="1" max="1" width="11.42578125" bestFit="1" customWidth="1"/>
    <col min="2" max="2" width="11.42578125" customWidth="1"/>
    <col min="3" max="4" width="11.5703125" bestFit="1" customWidth="1"/>
    <col min="5" max="5" width="13" customWidth="1"/>
    <col min="6" max="6" width="13.42578125" customWidth="1"/>
    <col min="7" max="8" width="10.5703125" customWidth="1"/>
    <col min="9" max="9" width="10.5703125" bestFit="1" customWidth="1"/>
    <col min="14" max="14" width="14.85546875" bestFit="1" customWidth="1"/>
  </cols>
  <sheetData>
    <row r="1" spans="1:14" x14ac:dyDescent="0.25">
      <c r="C1" t="s">
        <v>20</v>
      </c>
      <c r="E1" t="s">
        <v>23</v>
      </c>
      <c r="F1" t="s">
        <v>25</v>
      </c>
      <c r="I1" t="s">
        <v>23</v>
      </c>
      <c r="L1" s="25"/>
      <c r="M1" s="26"/>
      <c r="N1" s="27" t="s">
        <v>83</v>
      </c>
    </row>
    <row r="2" spans="1:14" x14ac:dyDescent="0.25">
      <c r="A2" t="s">
        <v>1</v>
      </c>
      <c r="B2" t="s">
        <v>87</v>
      </c>
      <c r="C2" t="s">
        <v>21</v>
      </c>
      <c r="D2" t="s">
        <v>22</v>
      </c>
      <c r="E2" t="s">
        <v>24</v>
      </c>
      <c r="F2" t="s">
        <v>26</v>
      </c>
      <c r="I2" t="s">
        <v>24</v>
      </c>
      <c r="L2" s="28" t="s">
        <v>85</v>
      </c>
      <c r="M2" s="29" t="s">
        <v>86</v>
      </c>
      <c r="N2" s="30" t="s">
        <v>84</v>
      </c>
    </row>
    <row r="3" spans="1:14" x14ac:dyDescent="0.25">
      <c r="A3" t="s">
        <v>19</v>
      </c>
      <c r="B3" s="18">
        <v>41311</v>
      </c>
      <c r="C3" s="7">
        <f>SUM(DNP!D2:D9)</f>
        <v>19226.75</v>
      </c>
      <c r="D3" s="7">
        <f>SUM(DNP!E2:E9,DNP!G2:H9)</f>
        <v>2263.4231249999998</v>
      </c>
      <c r="E3" s="7">
        <f>SUM(DNP!F2:F9)</f>
        <v>1922.675</v>
      </c>
      <c r="F3" s="7">
        <f>+C3-D3-E3</f>
        <v>15040.651875</v>
      </c>
      <c r="G3" s="35" t="s">
        <v>88</v>
      </c>
      <c r="H3" s="7"/>
      <c r="I3" s="7">
        <f>SUM(DNP!F2:F9)</f>
        <v>1922.675</v>
      </c>
      <c r="L3" s="19">
        <v>41312</v>
      </c>
      <c r="M3" s="20">
        <v>41326</v>
      </c>
      <c r="N3" s="21">
        <v>3221.28</v>
      </c>
    </row>
    <row r="4" spans="1:14" x14ac:dyDescent="0.25">
      <c r="A4" t="s">
        <v>27</v>
      </c>
      <c r="B4" s="18">
        <v>41322</v>
      </c>
      <c r="C4" s="6">
        <f>SUM('QP16 VIP'!E5:E20)</f>
        <v>9380.4599999999991</v>
      </c>
      <c r="D4" s="6">
        <f>SUM('QP16 VIP'!F5:F20,'QP16 VIP'!G5:G20,'QP16 VIP'!I5:I20,'QP16 VIP'!J5:M20)</f>
        <v>4143.1625000000004</v>
      </c>
      <c r="E4" s="6">
        <f>SUM('QP16 VIP'!H5:H20)</f>
        <v>938.04600000000005</v>
      </c>
      <c r="F4" s="7">
        <f>+C4-D4-E4</f>
        <v>4299.2514999999985</v>
      </c>
      <c r="I4" s="7">
        <f>+E4</f>
        <v>938.04600000000005</v>
      </c>
      <c r="L4" s="19">
        <v>41323</v>
      </c>
      <c r="M4" s="20">
        <v>41326</v>
      </c>
      <c r="N4" s="21">
        <v>0</v>
      </c>
    </row>
    <row r="5" spans="1:14" ht="15.75" thickBot="1" x14ac:dyDescent="0.3">
      <c r="A5" t="s">
        <v>64</v>
      </c>
      <c r="B5" s="18">
        <v>41322</v>
      </c>
      <c r="C5" s="6">
        <f>SUM('QP18 NB'!E5:E17)</f>
        <v>6986.5300000000007</v>
      </c>
      <c r="D5" s="6">
        <f>SUM('QP18 NB'!F5:G17,'QP18 NB'!I5:N17)</f>
        <v>6755.8550499999992</v>
      </c>
      <c r="E5">
        <f>SUM('QP18 NB'!H5:H17)</f>
        <v>698.65300000000002</v>
      </c>
      <c r="F5" s="7">
        <f>+C5-D5-E5</f>
        <v>-467.97804999999858</v>
      </c>
      <c r="I5" s="6">
        <f>+E5</f>
        <v>698.65300000000002</v>
      </c>
      <c r="L5" s="22">
        <v>41323</v>
      </c>
      <c r="M5" s="23">
        <v>41326</v>
      </c>
      <c r="N5" s="24">
        <v>250</v>
      </c>
    </row>
    <row r="7" spans="1:14" s="31" customFormat="1" x14ac:dyDescent="0.25">
      <c r="A7" s="31" t="s">
        <v>78</v>
      </c>
      <c r="C7" s="32">
        <f>SUM(C3:C6)</f>
        <v>35593.74</v>
      </c>
      <c r="D7" s="33">
        <f>SUM(D3:D6)</f>
        <v>13162.440674999998</v>
      </c>
      <c r="E7" s="32">
        <f>SUM(E3:E5)</f>
        <v>3559.3739999999998</v>
      </c>
      <c r="F7" s="32">
        <f>SUM(F3:F5)</f>
        <v>18871.925325</v>
      </c>
      <c r="I7" s="33">
        <f>SUM(I3:I6)</f>
        <v>3559.3739999999998</v>
      </c>
      <c r="J7" s="31" t="s">
        <v>79</v>
      </c>
    </row>
    <row r="11" spans="1:14" x14ac:dyDescent="0.25">
      <c r="A11" t="s">
        <v>80</v>
      </c>
      <c r="F11" t="s">
        <v>81</v>
      </c>
      <c r="L11" t="s">
        <v>82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11" sqref="I11"/>
    </sheetView>
  </sheetViews>
  <sheetFormatPr defaultRowHeight="15" x14ac:dyDescent="0.25"/>
  <cols>
    <col min="3" max="4" width="11.5703125" bestFit="1" customWidth="1"/>
    <col min="5" max="5" width="14.7109375" bestFit="1" customWidth="1"/>
    <col min="6" max="6" width="13.28515625" bestFit="1" customWidth="1"/>
    <col min="7" max="7" width="17.42578125" bestFit="1" customWidth="1"/>
    <col min="8" max="8" width="9" bestFit="1" customWidth="1"/>
    <col min="9" max="9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2" t="s">
        <v>11</v>
      </c>
      <c r="D2" s="3">
        <f>SUM([1]DNPDFDETAIL!P133:P163)</f>
        <v>4850</v>
      </c>
      <c r="E2" s="3">
        <f>+D2*7.75%</f>
        <v>375.875</v>
      </c>
      <c r="F2" s="3">
        <f>+D2*10%</f>
        <v>485</v>
      </c>
      <c r="G2" s="3">
        <f>+(24+31)*0.95</f>
        <v>52.25</v>
      </c>
      <c r="H2" s="3">
        <v>50</v>
      </c>
      <c r="I2" s="4">
        <f>+D2-E2-F2-G2-H2</f>
        <v>3886.875</v>
      </c>
    </row>
    <row r="3" spans="1:9" x14ac:dyDescent="0.25">
      <c r="A3" s="1" t="s">
        <v>12</v>
      </c>
      <c r="B3" s="1" t="s">
        <v>10</v>
      </c>
      <c r="C3" s="5">
        <v>2710</v>
      </c>
      <c r="D3" s="6">
        <v>2710</v>
      </c>
      <c r="E3" s="6">
        <f>+D3*7.75%</f>
        <v>210.02500000000001</v>
      </c>
      <c r="F3" s="6">
        <f>+D3*10%</f>
        <v>271</v>
      </c>
      <c r="G3" s="6">
        <v>51.3</v>
      </c>
      <c r="H3" s="6">
        <v>50</v>
      </c>
      <c r="I3" s="7">
        <f>+D3-E3-F3-G3-H3</f>
        <v>2127.6749999999997</v>
      </c>
    </row>
    <row r="4" spans="1:9" x14ac:dyDescent="0.25">
      <c r="A4" s="1" t="s">
        <v>13</v>
      </c>
      <c r="B4" s="1" t="s">
        <v>10</v>
      </c>
      <c r="C4" s="8">
        <v>1565</v>
      </c>
      <c r="D4" s="6">
        <v>1445</v>
      </c>
      <c r="E4" s="6">
        <f t="shared" ref="E4:E9" si="0">+D4*7.75%</f>
        <v>111.9875</v>
      </c>
      <c r="F4" s="6">
        <f t="shared" ref="F4:F9" si="1">+D4*10%</f>
        <v>144.5</v>
      </c>
      <c r="G4" s="6">
        <v>45.6</v>
      </c>
      <c r="H4" s="6">
        <v>50</v>
      </c>
      <c r="I4" s="7">
        <f t="shared" ref="I4:I9" si="2">+D4-E4-F4-G4-H4</f>
        <v>1092.9125000000001</v>
      </c>
    </row>
    <row r="5" spans="1:9" x14ac:dyDescent="0.25">
      <c r="A5" s="1" t="s">
        <v>14</v>
      </c>
      <c r="B5" s="1" t="s">
        <v>10</v>
      </c>
      <c r="C5" s="9">
        <v>1235</v>
      </c>
      <c r="D5" s="6">
        <v>1305</v>
      </c>
      <c r="E5" s="6">
        <f t="shared" si="0"/>
        <v>101.1375</v>
      </c>
      <c r="F5" s="6">
        <f t="shared" si="1"/>
        <v>130.5</v>
      </c>
      <c r="G5" s="6">
        <v>34.200000000000003</v>
      </c>
      <c r="H5" s="6">
        <v>50</v>
      </c>
      <c r="I5" s="7">
        <f t="shared" si="2"/>
        <v>989.16249999999991</v>
      </c>
    </row>
    <row r="6" spans="1:9" x14ac:dyDescent="0.25">
      <c r="A6" s="1" t="s">
        <v>15</v>
      </c>
      <c r="B6" s="1" t="s">
        <v>10</v>
      </c>
      <c r="C6" s="10">
        <v>1520</v>
      </c>
      <c r="D6" s="6">
        <v>1570</v>
      </c>
      <c r="E6" s="6">
        <f t="shared" si="0"/>
        <v>121.675</v>
      </c>
      <c r="F6" s="6">
        <f t="shared" si="1"/>
        <v>157</v>
      </c>
      <c r="G6" s="6">
        <v>41.8</v>
      </c>
      <c r="H6" s="6">
        <v>50</v>
      </c>
      <c r="I6" s="7">
        <f t="shared" si="2"/>
        <v>1199.5250000000001</v>
      </c>
    </row>
    <row r="7" spans="1:9" x14ac:dyDescent="0.25">
      <c r="A7" s="1" t="s">
        <v>16</v>
      </c>
      <c r="B7" s="1" t="s">
        <v>10</v>
      </c>
      <c r="C7" s="11">
        <v>2483</v>
      </c>
      <c r="D7" s="6">
        <v>1983</v>
      </c>
      <c r="E7" s="6">
        <f t="shared" si="0"/>
        <v>153.6825</v>
      </c>
      <c r="F7" s="6">
        <f t="shared" si="1"/>
        <v>198.3</v>
      </c>
      <c r="G7" s="6">
        <v>46.55</v>
      </c>
      <c r="H7" s="6">
        <v>50</v>
      </c>
      <c r="I7" s="7">
        <f t="shared" si="2"/>
        <v>1534.4675000000002</v>
      </c>
    </row>
    <row r="8" spans="1:9" x14ac:dyDescent="0.25">
      <c r="A8" s="1" t="s">
        <v>17</v>
      </c>
      <c r="B8" s="1" t="s">
        <v>10</v>
      </c>
      <c r="C8" s="12">
        <v>2013</v>
      </c>
      <c r="D8" s="6">
        <v>2513</v>
      </c>
      <c r="E8" s="6">
        <f t="shared" si="0"/>
        <v>194.75749999999999</v>
      </c>
      <c r="F8" s="6">
        <f t="shared" si="1"/>
        <v>251.3</v>
      </c>
      <c r="G8" s="6">
        <v>45.6</v>
      </c>
      <c r="H8" s="6">
        <v>50</v>
      </c>
      <c r="I8" s="7">
        <f t="shared" si="2"/>
        <v>1971.3424999999997</v>
      </c>
    </row>
    <row r="9" spans="1:9" x14ac:dyDescent="0.25">
      <c r="A9" s="1" t="s">
        <v>18</v>
      </c>
      <c r="B9" s="1" t="s">
        <v>10</v>
      </c>
      <c r="C9" s="13">
        <v>2850.75</v>
      </c>
      <c r="D9" s="6">
        <v>2850.75</v>
      </c>
      <c r="E9" s="6">
        <f t="shared" si="0"/>
        <v>220.93312499999999</v>
      </c>
      <c r="F9" s="6">
        <f t="shared" si="1"/>
        <v>285.07499999999999</v>
      </c>
      <c r="G9" s="6">
        <v>56.05</v>
      </c>
      <c r="H9" s="6">
        <v>50</v>
      </c>
      <c r="I9" s="7">
        <f t="shared" si="2"/>
        <v>2238.691875</v>
      </c>
    </row>
    <row r="11" spans="1:9" x14ac:dyDescent="0.25">
      <c r="B11" s="7">
        <f t="shared" ref="B11:H11" si="3">SUM(B2:B9)</f>
        <v>0</v>
      </c>
      <c r="C11" s="7">
        <f t="shared" si="3"/>
        <v>14376.75</v>
      </c>
      <c r="D11" s="7">
        <f t="shared" si="3"/>
        <v>19226.75</v>
      </c>
      <c r="E11" s="7">
        <f t="shared" si="3"/>
        <v>1490.0731249999999</v>
      </c>
      <c r="F11" s="7">
        <f t="shared" si="3"/>
        <v>1922.675</v>
      </c>
      <c r="G11" s="7">
        <f t="shared" si="3"/>
        <v>373.35000000000008</v>
      </c>
      <c r="H11" s="7">
        <f t="shared" si="3"/>
        <v>400</v>
      </c>
      <c r="I11" s="7">
        <f>SUM(I2:I9)</f>
        <v>15040.651875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opLeftCell="B1" workbookViewId="0">
      <selection activeCell="O21" sqref="O21"/>
    </sheetView>
  </sheetViews>
  <sheetFormatPr defaultRowHeight="15" x14ac:dyDescent="0.25"/>
  <cols>
    <col min="2" max="2" width="10.42578125" bestFit="1" customWidth="1"/>
    <col min="21" max="21" width="16.85546875" bestFit="1" customWidth="1"/>
  </cols>
  <sheetData>
    <row r="1" spans="1:24" x14ac:dyDescent="0.25">
      <c r="A1" s="1" t="s">
        <v>28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24" x14ac:dyDescent="0.25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24" x14ac:dyDescent="0.2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24" x14ac:dyDescent="0.25">
      <c r="A4" s="1" t="s">
        <v>29</v>
      </c>
      <c r="B4" s="1" t="s">
        <v>30</v>
      </c>
      <c r="C4" s="14" t="s">
        <v>1</v>
      </c>
      <c r="D4" s="14" t="s">
        <v>2</v>
      </c>
      <c r="E4" s="14" t="s">
        <v>3</v>
      </c>
      <c r="F4" s="14" t="s">
        <v>31</v>
      </c>
      <c r="G4" s="14" t="s">
        <v>32</v>
      </c>
      <c r="H4" s="14" t="s">
        <v>5</v>
      </c>
      <c r="I4" s="14" t="s">
        <v>6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7</v>
      </c>
      <c r="O4" s="14" t="s">
        <v>8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</row>
    <row r="5" spans="1:24" x14ac:dyDescent="0.25">
      <c r="A5" s="1" t="s">
        <v>46</v>
      </c>
      <c r="B5" s="15">
        <v>39756</v>
      </c>
      <c r="C5" s="15"/>
      <c r="D5" s="15"/>
      <c r="E5" s="16">
        <v>99.96</v>
      </c>
      <c r="F5" s="16">
        <v>3000</v>
      </c>
      <c r="G5" s="16">
        <v>8.5</v>
      </c>
      <c r="H5" s="16">
        <f>+E5*10%</f>
        <v>9.9960000000000004</v>
      </c>
      <c r="I5" s="16">
        <v>1</v>
      </c>
      <c r="J5" s="16"/>
      <c r="K5" s="16"/>
      <c r="L5" s="16"/>
      <c r="M5" s="16"/>
      <c r="N5" s="15"/>
      <c r="O5" s="16">
        <f t="shared" ref="O5:O20" si="0">+E5-F5-G5-H5-I5-L5-M5-J5-K5</f>
        <v>-2919.5360000000001</v>
      </c>
      <c r="P5" s="16">
        <v>-2919.5326</v>
      </c>
      <c r="Q5" s="16">
        <v>0</v>
      </c>
      <c r="R5" s="16">
        <v>0</v>
      </c>
      <c r="S5" s="16">
        <v>0</v>
      </c>
      <c r="T5" s="16">
        <v>-2919.5326</v>
      </c>
      <c r="U5" s="15">
        <v>39936</v>
      </c>
      <c r="V5" s="16">
        <v>9.9960000000000004</v>
      </c>
      <c r="W5" s="16">
        <v>0</v>
      </c>
      <c r="X5" s="16">
        <v>9.9960000000000004</v>
      </c>
    </row>
    <row r="6" spans="1:24" x14ac:dyDescent="0.25">
      <c r="A6" s="1" t="s">
        <v>47</v>
      </c>
      <c r="B6" s="15">
        <v>39763</v>
      </c>
      <c r="C6" s="15"/>
      <c r="D6" s="15"/>
      <c r="E6" s="16"/>
      <c r="F6" s="16"/>
      <c r="G6" s="16"/>
      <c r="H6" s="16"/>
      <c r="I6" s="16"/>
      <c r="J6" s="16"/>
      <c r="K6" s="16"/>
      <c r="L6" s="16"/>
      <c r="M6" s="16"/>
      <c r="N6" s="15"/>
      <c r="O6" s="16">
        <f t="shared" si="0"/>
        <v>0</v>
      </c>
      <c r="P6" s="16">
        <v>0</v>
      </c>
      <c r="Q6" s="16">
        <v>0</v>
      </c>
      <c r="R6" s="16">
        <v>0</v>
      </c>
      <c r="S6" s="16">
        <v>0</v>
      </c>
      <c r="T6" s="16">
        <v>-2919.5326</v>
      </c>
      <c r="U6" s="15">
        <v>39943</v>
      </c>
      <c r="V6" s="16">
        <v>0</v>
      </c>
      <c r="W6" s="16">
        <v>0</v>
      </c>
      <c r="X6" s="16">
        <v>9.9960000000000004</v>
      </c>
    </row>
    <row r="7" spans="1:24" x14ac:dyDescent="0.25">
      <c r="A7" s="1" t="s">
        <v>48</v>
      </c>
      <c r="B7" s="15">
        <v>39770</v>
      </c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5"/>
      <c r="O7" s="16">
        <f t="shared" si="0"/>
        <v>0</v>
      </c>
      <c r="P7" s="16">
        <v>0</v>
      </c>
      <c r="Q7" s="16">
        <v>0</v>
      </c>
      <c r="R7" s="16">
        <v>0</v>
      </c>
      <c r="S7" s="16">
        <v>0</v>
      </c>
      <c r="T7" s="16">
        <v>-2919.5326</v>
      </c>
      <c r="U7" s="15">
        <v>39950</v>
      </c>
      <c r="V7" s="16">
        <v>0</v>
      </c>
      <c r="W7" s="16">
        <v>0</v>
      </c>
      <c r="X7" s="16">
        <v>9.9960000000000004</v>
      </c>
    </row>
    <row r="8" spans="1:24" x14ac:dyDescent="0.25">
      <c r="A8" s="1" t="s">
        <v>49</v>
      </c>
      <c r="B8" s="15">
        <v>39777</v>
      </c>
      <c r="C8" s="15"/>
      <c r="D8" s="15"/>
      <c r="E8" s="16"/>
      <c r="F8" s="16"/>
      <c r="G8" s="16"/>
      <c r="H8" s="16"/>
      <c r="I8" s="16"/>
      <c r="J8" s="17"/>
      <c r="K8" s="16"/>
      <c r="L8" s="16"/>
      <c r="M8" s="16"/>
      <c r="N8" s="15"/>
      <c r="O8" s="16">
        <f t="shared" si="0"/>
        <v>0</v>
      </c>
      <c r="P8" s="16">
        <v>0</v>
      </c>
      <c r="Q8" s="16">
        <v>0</v>
      </c>
      <c r="R8" s="16">
        <v>0</v>
      </c>
      <c r="S8" s="16">
        <v>0</v>
      </c>
      <c r="T8" s="16">
        <v>-2919.5326</v>
      </c>
      <c r="U8" s="15">
        <v>39957</v>
      </c>
      <c r="V8" s="16">
        <v>0</v>
      </c>
      <c r="W8" s="16">
        <v>0</v>
      </c>
      <c r="X8" s="16">
        <v>9.9960000000000004</v>
      </c>
    </row>
    <row r="9" spans="1:24" x14ac:dyDescent="0.25">
      <c r="A9" s="1" t="s">
        <v>50</v>
      </c>
      <c r="B9" s="15">
        <v>39784</v>
      </c>
      <c r="C9" s="15"/>
      <c r="D9" s="15"/>
      <c r="E9" s="16">
        <v>304.8</v>
      </c>
      <c r="F9" s="16"/>
      <c r="G9" s="16">
        <f>+E9*8.5%</f>
        <v>25.908000000000001</v>
      </c>
      <c r="H9" s="16">
        <f>+E9*10%</f>
        <v>30.480000000000004</v>
      </c>
      <c r="I9" s="16">
        <v>5</v>
      </c>
      <c r="J9" s="16"/>
      <c r="K9" s="16"/>
      <c r="L9" s="16"/>
      <c r="M9" s="16"/>
      <c r="N9" s="15"/>
      <c r="O9" s="16">
        <f t="shared" si="0"/>
        <v>243.41199999999998</v>
      </c>
      <c r="P9" s="16">
        <v>243.41200000000001</v>
      </c>
      <c r="Q9" s="16">
        <v>0</v>
      </c>
      <c r="R9" s="16">
        <v>0</v>
      </c>
      <c r="S9" s="16">
        <v>0</v>
      </c>
      <c r="T9" s="16">
        <v>-2676.1206000000002</v>
      </c>
      <c r="U9" s="15">
        <v>39964</v>
      </c>
      <c r="V9" s="16">
        <v>30.48</v>
      </c>
      <c r="W9" s="16">
        <v>0</v>
      </c>
      <c r="X9" s="16">
        <v>40.475999999999999</v>
      </c>
    </row>
    <row r="10" spans="1:24" x14ac:dyDescent="0.25">
      <c r="A10" s="1" t="s">
        <v>51</v>
      </c>
      <c r="B10" s="15">
        <v>39791</v>
      </c>
      <c r="C10" s="15"/>
      <c r="D10" s="15"/>
      <c r="E10" s="16">
        <v>3999.83</v>
      </c>
      <c r="F10" s="16"/>
      <c r="G10" s="16">
        <f>+E10*8.5%</f>
        <v>339.98555000000005</v>
      </c>
      <c r="H10" s="16">
        <f>+E10*10%</f>
        <v>399.983</v>
      </c>
      <c r="I10" s="16">
        <v>4</v>
      </c>
      <c r="J10" s="16"/>
      <c r="K10" s="16"/>
      <c r="L10" s="16"/>
      <c r="M10" s="16"/>
      <c r="N10" s="15"/>
      <c r="O10" s="16">
        <f t="shared" si="0"/>
        <v>3255.8614499999999</v>
      </c>
      <c r="P10" s="16">
        <v>3255.8614499999999</v>
      </c>
      <c r="Q10" s="16">
        <v>0</v>
      </c>
      <c r="R10" s="16">
        <v>0</v>
      </c>
      <c r="S10" s="16">
        <v>0</v>
      </c>
      <c r="T10" s="16">
        <v>579.74090000000001</v>
      </c>
      <c r="U10" s="15">
        <v>39971</v>
      </c>
      <c r="V10" s="16">
        <v>399.983</v>
      </c>
      <c r="W10" s="16">
        <v>0</v>
      </c>
      <c r="X10" s="16">
        <v>440.459</v>
      </c>
    </row>
    <row r="11" spans="1:24" x14ac:dyDescent="0.25">
      <c r="A11" s="1" t="s">
        <v>52</v>
      </c>
      <c r="B11" s="15">
        <v>39798</v>
      </c>
      <c r="C11" s="15"/>
      <c r="D11" s="15"/>
      <c r="E11" s="16"/>
      <c r="F11" s="16"/>
      <c r="G11" s="16"/>
      <c r="H11" s="16"/>
      <c r="I11" s="16"/>
      <c r="J11" s="16">
        <v>40</v>
      </c>
      <c r="K11" s="16">
        <v>152.9</v>
      </c>
      <c r="L11" s="16"/>
      <c r="M11" s="16"/>
      <c r="N11" s="15"/>
      <c r="O11" s="16">
        <f t="shared" si="0"/>
        <v>-192.9</v>
      </c>
      <c r="P11" s="16">
        <v>-192.9</v>
      </c>
      <c r="Q11" s="16">
        <v>0</v>
      </c>
      <c r="R11" s="16">
        <v>0</v>
      </c>
      <c r="S11" s="16">
        <v>0</v>
      </c>
      <c r="T11" s="16">
        <v>386.84089999999998</v>
      </c>
      <c r="U11" s="15">
        <v>39978</v>
      </c>
      <c r="V11" s="16">
        <v>0</v>
      </c>
      <c r="W11" s="16">
        <v>0</v>
      </c>
      <c r="X11" s="16">
        <v>440.459</v>
      </c>
    </row>
    <row r="12" spans="1:24" x14ac:dyDescent="0.25">
      <c r="A12" s="1" t="s">
        <v>53</v>
      </c>
      <c r="B12" s="15">
        <v>39805</v>
      </c>
      <c r="C12" s="15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5"/>
      <c r="O12" s="16">
        <f t="shared" si="0"/>
        <v>0</v>
      </c>
      <c r="P12" s="16">
        <v>0</v>
      </c>
      <c r="Q12" s="16">
        <v>0</v>
      </c>
      <c r="R12" s="16">
        <v>0</v>
      </c>
      <c r="S12" s="16">
        <v>0</v>
      </c>
      <c r="T12" s="16">
        <v>386.84089999999998</v>
      </c>
      <c r="U12" s="15">
        <v>39985</v>
      </c>
      <c r="V12" s="16">
        <v>0</v>
      </c>
      <c r="W12" s="16">
        <v>0</v>
      </c>
      <c r="X12" s="16">
        <v>440.459</v>
      </c>
    </row>
    <row r="13" spans="1:24" x14ac:dyDescent="0.25">
      <c r="A13" s="1" t="s">
        <v>54</v>
      </c>
      <c r="B13" s="15">
        <v>39812</v>
      </c>
      <c r="C13" s="15"/>
      <c r="D13" s="15"/>
      <c r="E13" s="16">
        <v>1999.94</v>
      </c>
      <c r="F13" s="16"/>
      <c r="G13" s="16">
        <f>+E13*8.5%</f>
        <v>169.99490000000003</v>
      </c>
      <c r="H13" s="16">
        <f>+E13*10%</f>
        <v>199.99400000000003</v>
      </c>
      <c r="I13" s="16">
        <v>3</v>
      </c>
      <c r="J13" s="16"/>
      <c r="K13" s="16"/>
      <c r="L13" s="16"/>
      <c r="M13" s="16"/>
      <c r="N13" s="15"/>
      <c r="O13" s="16">
        <f t="shared" si="0"/>
        <v>1626.9510999999998</v>
      </c>
      <c r="P13" s="16">
        <v>1626.9511</v>
      </c>
      <c r="Q13" s="16">
        <v>0</v>
      </c>
      <c r="R13" s="16">
        <v>0</v>
      </c>
      <c r="S13" s="16">
        <v>0</v>
      </c>
      <c r="T13" s="16">
        <v>2013.7919999999999</v>
      </c>
      <c r="U13" s="15">
        <v>39992</v>
      </c>
      <c r="V13" s="16">
        <v>199.994</v>
      </c>
      <c r="W13" s="16">
        <v>0</v>
      </c>
      <c r="X13" s="16">
        <v>640.45299999999997</v>
      </c>
    </row>
    <row r="14" spans="1:24" x14ac:dyDescent="0.25">
      <c r="A14" s="1" t="s">
        <v>55</v>
      </c>
      <c r="B14" s="15">
        <v>39819</v>
      </c>
      <c r="C14" s="15"/>
      <c r="D14" s="15"/>
      <c r="E14" s="16">
        <v>2099.6999999999998</v>
      </c>
      <c r="F14" s="16"/>
      <c r="G14" s="16">
        <f>+E14*8.5%</f>
        <v>178.47450000000001</v>
      </c>
      <c r="H14" s="16">
        <f>+E14*10%</f>
        <v>209.97</v>
      </c>
      <c r="I14" s="16">
        <v>6</v>
      </c>
      <c r="J14" s="16"/>
      <c r="K14" s="16"/>
      <c r="L14" s="16"/>
      <c r="M14" s="16"/>
      <c r="N14" s="15"/>
      <c r="O14" s="16">
        <f t="shared" si="0"/>
        <v>1705.2554999999998</v>
      </c>
      <c r="P14" s="16">
        <v>1705.2555</v>
      </c>
      <c r="Q14" s="16">
        <v>0</v>
      </c>
      <c r="R14" s="16">
        <v>0</v>
      </c>
      <c r="S14" s="16">
        <v>0</v>
      </c>
      <c r="T14" s="16">
        <v>3719.0475000000001</v>
      </c>
      <c r="U14" s="15">
        <v>39999</v>
      </c>
      <c r="V14" s="16">
        <v>209.97</v>
      </c>
      <c r="W14" s="16">
        <v>0</v>
      </c>
      <c r="X14" s="16">
        <v>850.423</v>
      </c>
    </row>
    <row r="15" spans="1:24" x14ac:dyDescent="0.25">
      <c r="A15" s="1" t="s">
        <v>56</v>
      </c>
      <c r="B15" s="15">
        <v>39826</v>
      </c>
      <c r="C15" s="15"/>
      <c r="D15" s="15"/>
      <c r="E15" s="16">
        <v>404.69</v>
      </c>
      <c r="F15" s="16"/>
      <c r="G15" s="16">
        <f>+E15*8.5%</f>
        <v>34.398650000000004</v>
      </c>
      <c r="H15" s="16">
        <f>+E15*10%</f>
        <v>40.469000000000001</v>
      </c>
      <c r="I15" s="16">
        <v>13</v>
      </c>
      <c r="J15" s="16"/>
      <c r="K15" s="16"/>
      <c r="L15" s="16"/>
      <c r="M15" s="16"/>
      <c r="N15" s="15"/>
      <c r="O15" s="16">
        <f t="shared" si="0"/>
        <v>316.82234999999997</v>
      </c>
      <c r="P15" s="16">
        <v>316.82234999999997</v>
      </c>
      <c r="Q15" s="16">
        <v>0</v>
      </c>
      <c r="R15" s="16">
        <v>0</v>
      </c>
      <c r="S15" s="16">
        <v>0</v>
      </c>
      <c r="T15" s="16">
        <v>4035.8697999999999</v>
      </c>
      <c r="U15" s="15">
        <v>40006</v>
      </c>
      <c r="V15" s="16">
        <v>40.469000000000001</v>
      </c>
      <c r="W15" s="16">
        <v>0</v>
      </c>
      <c r="X15" s="16">
        <v>890.89200000000005</v>
      </c>
    </row>
    <row r="16" spans="1:24" x14ac:dyDescent="0.25">
      <c r="A16" s="1" t="s">
        <v>57</v>
      </c>
      <c r="B16" s="15">
        <v>39833</v>
      </c>
      <c r="C16" s="15"/>
      <c r="D16" s="15"/>
      <c r="E16" s="16">
        <v>49.92</v>
      </c>
      <c r="F16" s="16"/>
      <c r="G16" s="16">
        <f>+E16*8.5%</f>
        <v>4.2432000000000007</v>
      </c>
      <c r="H16" s="16">
        <f>+E16*10%</f>
        <v>4.9920000000000009</v>
      </c>
      <c r="I16" s="16">
        <v>1</v>
      </c>
      <c r="J16" s="16"/>
      <c r="K16" s="16"/>
      <c r="L16" s="16">
        <v>49.92</v>
      </c>
      <c r="M16" s="16">
        <v>60</v>
      </c>
      <c r="N16" s="15"/>
      <c r="O16" s="16">
        <f>+E16-F16-G16-H16-I16-L16-M16-J16-K16</f>
        <v>-70.235200000000006</v>
      </c>
      <c r="P16" s="16">
        <v>-70.255200000000002</v>
      </c>
      <c r="Q16" s="16">
        <v>0</v>
      </c>
      <c r="R16" s="16">
        <v>0</v>
      </c>
      <c r="S16" s="16">
        <v>0</v>
      </c>
      <c r="T16" s="16">
        <v>3965.6145999999999</v>
      </c>
      <c r="U16" s="15">
        <v>40013</v>
      </c>
      <c r="V16" s="16">
        <v>4.992</v>
      </c>
      <c r="W16" s="16">
        <v>0</v>
      </c>
      <c r="X16" s="16">
        <v>895.88400000000001</v>
      </c>
    </row>
    <row r="17" spans="1:24" x14ac:dyDescent="0.25">
      <c r="A17" s="1" t="s">
        <v>58</v>
      </c>
      <c r="B17" s="15">
        <v>39840</v>
      </c>
      <c r="C17" s="15"/>
      <c r="D17" s="15"/>
      <c r="E17" s="16">
        <v>101.91</v>
      </c>
      <c r="F17" s="16"/>
      <c r="G17" s="16">
        <f>+E17*8.5%</f>
        <v>8.66235</v>
      </c>
      <c r="H17" s="16">
        <f>+E17*10%</f>
        <v>10.191000000000001</v>
      </c>
      <c r="I17" s="16">
        <v>5</v>
      </c>
      <c r="J17" s="16"/>
      <c r="K17" s="16"/>
      <c r="L17" s="16"/>
      <c r="M17" s="16"/>
      <c r="N17" s="15"/>
      <c r="O17" s="16">
        <f t="shared" si="0"/>
        <v>78.056649999999991</v>
      </c>
      <c r="P17" s="16">
        <v>78.056650000000005</v>
      </c>
      <c r="Q17" s="16">
        <v>0</v>
      </c>
      <c r="R17" s="16">
        <v>0</v>
      </c>
      <c r="S17" s="16">
        <v>0</v>
      </c>
      <c r="T17" s="16">
        <v>4043.6713</v>
      </c>
      <c r="U17" s="15">
        <v>40020</v>
      </c>
      <c r="V17" s="16">
        <v>10.191000000000001</v>
      </c>
      <c r="W17" s="16">
        <v>0</v>
      </c>
      <c r="X17" s="16">
        <v>906.07500000000005</v>
      </c>
    </row>
    <row r="18" spans="1:24" x14ac:dyDescent="0.25">
      <c r="A18" s="1" t="s">
        <v>59</v>
      </c>
      <c r="B18" s="15">
        <v>39847</v>
      </c>
      <c r="C18" s="15"/>
      <c r="D18" s="15"/>
      <c r="E18" s="16">
        <v>319.70999999999998</v>
      </c>
      <c r="F18" s="16"/>
      <c r="G18" s="16">
        <f>+E18*8.5%</f>
        <v>27.175350000000002</v>
      </c>
      <c r="H18" s="16">
        <f>+E18*10%</f>
        <v>31.971</v>
      </c>
      <c r="I18" s="16">
        <v>5</v>
      </c>
      <c r="J18" s="16"/>
      <c r="K18" s="16"/>
      <c r="L18" s="16"/>
      <c r="M18" s="16"/>
      <c r="N18" s="15"/>
      <c r="O18" s="16">
        <f t="shared" si="0"/>
        <v>255.56365</v>
      </c>
      <c r="P18" s="16">
        <v>255.56365</v>
      </c>
      <c r="Q18" s="16">
        <v>0</v>
      </c>
      <c r="R18" s="16">
        <v>0</v>
      </c>
      <c r="S18" s="16">
        <v>0</v>
      </c>
      <c r="T18" s="16">
        <v>4299.2349000000004</v>
      </c>
      <c r="U18" s="15">
        <v>40027</v>
      </c>
      <c r="V18" s="16">
        <v>31.971</v>
      </c>
      <c r="W18" s="16">
        <v>0</v>
      </c>
      <c r="X18" s="16">
        <v>938.04600000000005</v>
      </c>
    </row>
    <row r="19" spans="1:24" x14ac:dyDescent="0.25">
      <c r="A19" s="1" t="s">
        <v>60</v>
      </c>
      <c r="B19" s="15">
        <v>39854</v>
      </c>
      <c r="C19" s="1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5"/>
      <c r="O19" s="16">
        <f t="shared" si="0"/>
        <v>0</v>
      </c>
      <c r="P19" s="16">
        <v>0</v>
      </c>
      <c r="Q19" s="16">
        <v>0</v>
      </c>
      <c r="R19" s="16">
        <v>0</v>
      </c>
      <c r="S19" s="16">
        <v>0</v>
      </c>
      <c r="T19" s="16">
        <v>4299.2349000000004</v>
      </c>
      <c r="U19" s="15">
        <v>40034</v>
      </c>
      <c r="V19" s="16">
        <v>0</v>
      </c>
      <c r="W19" s="16">
        <v>0</v>
      </c>
      <c r="X19" s="16">
        <v>938.04600000000005</v>
      </c>
    </row>
    <row r="20" spans="1:24" x14ac:dyDescent="0.25">
      <c r="A20" s="1" t="s">
        <v>61</v>
      </c>
      <c r="B20" s="15">
        <v>39861</v>
      </c>
      <c r="C20" s="1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5"/>
      <c r="O20" s="16">
        <f t="shared" si="0"/>
        <v>0</v>
      </c>
      <c r="P20" s="16">
        <v>0</v>
      </c>
      <c r="Q20" s="16">
        <v>0</v>
      </c>
      <c r="R20" s="16">
        <v>0</v>
      </c>
      <c r="S20" s="16">
        <v>0</v>
      </c>
      <c r="T20" s="16">
        <v>4299.2349000000004</v>
      </c>
      <c r="U20" s="15">
        <v>40041</v>
      </c>
      <c r="V20" s="16">
        <v>0</v>
      </c>
      <c r="W20" s="16">
        <v>0</v>
      </c>
      <c r="X20" s="16">
        <v>938.04600000000005</v>
      </c>
    </row>
    <row r="21" spans="1:24" x14ac:dyDescent="0.25">
      <c r="A21" s="1" t="s">
        <v>62</v>
      </c>
      <c r="C21" s="14"/>
      <c r="D21" s="14"/>
      <c r="E21" s="16"/>
      <c r="F21" s="16"/>
      <c r="G21" s="16"/>
      <c r="H21" s="14"/>
      <c r="I21" s="16"/>
      <c r="J21" s="16"/>
      <c r="K21" s="16"/>
      <c r="L21" s="16"/>
      <c r="M21" s="16"/>
      <c r="N21" s="14"/>
      <c r="O21" s="16">
        <f>SUM(O5:O20)</f>
        <v>4299.2514999999985</v>
      </c>
      <c r="P21" s="16">
        <v>4299.2349000000004</v>
      </c>
      <c r="R21" s="16">
        <v>0</v>
      </c>
      <c r="S21" s="16">
        <v>0</v>
      </c>
      <c r="T21" s="16">
        <v>4299.2349000000004</v>
      </c>
      <c r="V21" s="16">
        <v>938.04600000000005</v>
      </c>
      <c r="W21" s="16">
        <v>0</v>
      </c>
      <c r="X21" s="16">
        <v>938.04600000000005</v>
      </c>
    </row>
    <row r="22" spans="1:24" x14ac:dyDescent="0.25">
      <c r="A22" s="1" t="s">
        <v>63</v>
      </c>
      <c r="B22" s="1" t="s">
        <v>63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63</v>
      </c>
      <c r="Q22" s="1" t="s">
        <v>63</v>
      </c>
      <c r="R22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>
      <selection activeCell="P20" sqref="P20"/>
    </sheetView>
  </sheetViews>
  <sheetFormatPr defaultRowHeight="15" x14ac:dyDescent="0.25"/>
  <cols>
    <col min="2" max="2" width="10.42578125" bestFit="1" customWidth="1"/>
    <col min="3" max="3" width="11.42578125" bestFit="1" customWidth="1"/>
  </cols>
  <sheetData>
    <row r="1" spans="1:24" x14ac:dyDescent="0.25">
      <c r="A1" s="1" t="s">
        <v>28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24" x14ac:dyDescent="0.25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24" x14ac:dyDescent="0.2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24" x14ac:dyDescent="0.25">
      <c r="A4" s="1" t="s">
        <v>29</v>
      </c>
      <c r="B4" s="1" t="s">
        <v>30</v>
      </c>
      <c r="C4" s="14" t="s">
        <v>1</v>
      </c>
      <c r="D4" s="14" t="s">
        <v>2</v>
      </c>
      <c r="E4" s="14" t="s">
        <v>3</v>
      </c>
      <c r="F4" s="14" t="s">
        <v>31</v>
      </c>
      <c r="G4" s="14" t="s">
        <v>32</v>
      </c>
      <c r="H4" s="14" t="s">
        <v>5</v>
      </c>
      <c r="I4" s="14" t="s">
        <v>6</v>
      </c>
      <c r="J4" s="14" t="s">
        <v>33</v>
      </c>
      <c r="K4" s="14" t="s">
        <v>34</v>
      </c>
      <c r="L4" s="14" t="s">
        <v>35</v>
      </c>
      <c r="M4" s="14" t="s">
        <v>36</v>
      </c>
      <c r="N4" s="14" t="s">
        <v>7</v>
      </c>
      <c r="O4" s="14" t="s">
        <v>8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</row>
    <row r="5" spans="1:24" x14ac:dyDescent="0.25">
      <c r="A5" s="1" t="s">
        <v>65</v>
      </c>
      <c r="B5" s="15">
        <v>39777</v>
      </c>
      <c r="C5" s="15"/>
      <c r="D5" s="15"/>
      <c r="E5" s="16"/>
      <c r="F5" s="16">
        <v>6000</v>
      </c>
      <c r="G5" s="16">
        <f>+E5*8.5%</f>
        <v>0</v>
      </c>
      <c r="H5" s="16">
        <f>+E5*10%</f>
        <v>0</v>
      </c>
      <c r="I5" s="16">
        <v>12</v>
      </c>
      <c r="J5" s="16"/>
      <c r="K5" s="16"/>
      <c r="L5" s="16"/>
      <c r="M5" s="16"/>
      <c r="N5" s="15"/>
      <c r="O5" s="16">
        <f t="shared" ref="O5:O18" si="0">+E5-F5-G5-H5-I5-L5-M5-J5-K5</f>
        <v>-6012</v>
      </c>
      <c r="P5" s="16">
        <v>-6012</v>
      </c>
      <c r="Q5" s="16">
        <v>0</v>
      </c>
      <c r="R5" s="16">
        <v>0</v>
      </c>
      <c r="S5" s="16">
        <v>0</v>
      </c>
      <c r="T5" s="16">
        <v>-6012</v>
      </c>
      <c r="U5" s="15">
        <v>39957</v>
      </c>
      <c r="V5" s="16">
        <v>0</v>
      </c>
      <c r="W5" s="16">
        <v>0</v>
      </c>
      <c r="X5" s="16">
        <v>0</v>
      </c>
    </row>
    <row r="6" spans="1:24" x14ac:dyDescent="0.25">
      <c r="A6" s="1" t="s">
        <v>66</v>
      </c>
      <c r="B6" s="15">
        <v>39784</v>
      </c>
      <c r="C6" s="15"/>
      <c r="D6" s="15"/>
      <c r="E6" s="16">
        <v>99.9</v>
      </c>
      <c r="F6" s="16"/>
      <c r="G6" s="16">
        <f>+E6*8.5%</f>
        <v>8.4915000000000003</v>
      </c>
      <c r="H6" s="16">
        <f>+E6*10%</f>
        <v>9.990000000000002</v>
      </c>
      <c r="I6" s="16">
        <v>9</v>
      </c>
      <c r="J6" s="16"/>
      <c r="K6" s="16"/>
      <c r="L6" s="16"/>
      <c r="M6" s="16"/>
      <c r="N6" s="15"/>
      <c r="O6" s="16">
        <f t="shared" si="0"/>
        <v>72.418499999999995</v>
      </c>
      <c r="P6" s="16">
        <v>72.418499999999995</v>
      </c>
      <c r="Q6" s="16">
        <v>0</v>
      </c>
      <c r="R6" s="16">
        <v>0</v>
      </c>
      <c r="S6" s="16">
        <v>0</v>
      </c>
      <c r="T6" s="16">
        <v>-5939.5815000000002</v>
      </c>
      <c r="U6" s="15">
        <v>39964</v>
      </c>
      <c r="V6" s="16">
        <v>9.99</v>
      </c>
      <c r="W6" s="16">
        <v>0</v>
      </c>
      <c r="X6" s="16">
        <v>9.99</v>
      </c>
    </row>
    <row r="7" spans="1:24" x14ac:dyDescent="0.25">
      <c r="A7" s="1" t="s">
        <v>67</v>
      </c>
      <c r="B7" s="15">
        <v>39791</v>
      </c>
      <c r="C7" s="15"/>
      <c r="D7" s="15"/>
      <c r="E7" s="16">
        <v>354.58</v>
      </c>
      <c r="F7" s="16"/>
      <c r="G7" s="16">
        <f>+E7*8.5%</f>
        <v>30.139300000000002</v>
      </c>
      <c r="H7" s="16">
        <f>+E7*10%</f>
        <v>35.457999999999998</v>
      </c>
      <c r="I7" s="16">
        <v>8</v>
      </c>
      <c r="J7" s="16"/>
      <c r="K7" s="16"/>
      <c r="L7" s="16"/>
      <c r="M7" s="16"/>
      <c r="N7" s="15"/>
      <c r="O7" s="16">
        <f t="shared" si="0"/>
        <v>280.98270000000002</v>
      </c>
      <c r="P7" s="16">
        <v>280.98270000000002</v>
      </c>
      <c r="Q7" s="16">
        <v>0</v>
      </c>
      <c r="R7" s="16">
        <v>0</v>
      </c>
      <c r="S7" s="16">
        <v>0</v>
      </c>
      <c r="T7" s="16">
        <v>-5658.5987999999998</v>
      </c>
      <c r="U7" s="15">
        <v>39971</v>
      </c>
      <c r="V7" s="16">
        <v>35.457999999999998</v>
      </c>
      <c r="W7" s="16">
        <v>0</v>
      </c>
      <c r="X7" s="16">
        <v>45.448</v>
      </c>
    </row>
    <row r="8" spans="1:24" x14ac:dyDescent="0.25">
      <c r="A8" s="1" t="s">
        <v>68</v>
      </c>
      <c r="B8" s="15">
        <v>39798</v>
      </c>
      <c r="C8" s="15"/>
      <c r="D8" s="15"/>
      <c r="E8" s="16">
        <v>424.94</v>
      </c>
      <c r="F8" s="16"/>
      <c r="G8" s="16">
        <f>+E8*8.5%</f>
        <v>36.119900000000001</v>
      </c>
      <c r="H8" s="16">
        <f>+E8*10%</f>
        <v>42.494</v>
      </c>
      <c r="I8" s="16">
        <v>4</v>
      </c>
      <c r="J8" s="17"/>
      <c r="K8" s="16"/>
      <c r="L8" s="16"/>
      <c r="M8" s="16"/>
      <c r="N8" s="15"/>
      <c r="O8" s="16">
        <f t="shared" si="0"/>
        <v>342.3261</v>
      </c>
      <c r="P8" s="16">
        <v>342.3261</v>
      </c>
      <c r="Q8" s="16">
        <v>0</v>
      </c>
      <c r="R8" s="16">
        <v>0</v>
      </c>
      <c r="S8" s="16">
        <v>0</v>
      </c>
      <c r="T8" s="16">
        <v>-5316.2727000000004</v>
      </c>
      <c r="U8" s="15">
        <v>39978</v>
      </c>
      <c r="V8" s="16">
        <v>42.494</v>
      </c>
      <c r="W8" s="16">
        <v>0</v>
      </c>
      <c r="X8" s="16">
        <v>87.941999999999993</v>
      </c>
    </row>
    <row r="9" spans="1:24" x14ac:dyDescent="0.25">
      <c r="A9" s="1" t="s">
        <v>69</v>
      </c>
      <c r="B9" s="15">
        <v>39805</v>
      </c>
      <c r="C9" s="15"/>
      <c r="D9" s="15"/>
      <c r="E9" s="16">
        <v>824.29</v>
      </c>
      <c r="F9" s="16"/>
      <c r="G9" s="16">
        <f>+E9*8.5%</f>
        <v>70.06465</v>
      </c>
      <c r="H9" s="16">
        <f>+E9*10%</f>
        <v>82.429000000000002</v>
      </c>
      <c r="I9" s="16">
        <v>17</v>
      </c>
      <c r="J9" s="16"/>
      <c r="K9" s="16"/>
      <c r="L9" s="16"/>
      <c r="M9" s="16"/>
      <c r="N9" s="15"/>
      <c r="O9" s="16">
        <f t="shared" si="0"/>
        <v>654.79634999999996</v>
      </c>
      <c r="P9" s="16">
        <v>654.79634999999996</v>
      </c>
      <c r="Q9" s="16">
        <v>0</v>
      </c>
      <c r="R9" s="16">
        <v>0</v>
      </c>
      <c r="S9" s="16">
        <v>0</v>
      </c>
      <c r="T9" s="16">
        <v>-4661.4763999999996</v>
      </c>
      <c r="U9" s="15">
        <v>39985</v>
      </c>
      <c r="V9" s="16">
        <v>82.429000000000002</v>
      </c>
      <c r="W9" s="16">
        <v>0</v>
      </c>
      <c r="X9" s="16">
        <v>170.37100000000001</v>
      </c>
    </row>
    <row r="10" spans="1:24" x14ac:dyDescent="0.25">
      <c r="A10" s="1" t="s">
        <v>70</v>
      </c>
      <c r="B10" s="15">
        <v>39812</v>
      </c>
      <c r="C10" s="15"/>
      <c r="D10" s="15"/>
      <c r="E10" s="16">
        <v>1199.1500000000001</v>
      </c>
      <c r="F10" s="16"/>
      <c r="G10" s="16">
        <f>+E10*8.5%</f>
        <v>101.92775000000002</v>
      </c>
      <c r="H10" s="16">
        <f>+E10*10%</f>
        <v>119.91500000000002</v>
      </c>
      <c r="I10" s="16">
        <v>33</v>
      </c>
      <c r="J10" s="16"/>
      <c r="K10" s="16"/>
      <c r="L10" s="16"/>
      <c r="M10" s="16"/>
      <c r="N10" s="15"/>
      <c r="O10" s="16">
        <f t="shared" si="0"/>
        <v>944.30725000000007</v>
      </c>
      <c r="P10" s="16">
        <v>944.30724999999995</v>
      </c>
      <c r="Q10" s="16">
        <v>0</v>
      </c>
      <c r="R10" s="16">
        <v>0</v>
      </c>
      <c r="S10" s="16">
        <v>0</v>
      </c>
      <c r="T10" s="16">
        <v>-3717.1691000000001</v>
      </c>
      <c r="U10" s="15">
        <v>39992</v>
      </c>
      <c r="V10" s="16">
        <v>119.91500000000001</v>
      </c>
      <c r="W10" s="16">
        <v>0</v>
      </c>
      <c r="X10" s="16">
        <v>290.286</v>
      </c>
    </row>
    <row r="11" spans="1:24" x14ac:dyDescent="0.25">
      <c r="A11" s="1" t="s">
        <v>71</v>
      </c>
      <c r="B11" s="15">
        <v>39819</v>
      </c>
      <c r="C11" s="15"/>
      <c r="D11" s="15"/>
      <c r="E11" s="16">
        <v>659.67</v>
      </c>
      <c r="F11" s="16"/>
      <c r="G11" s="16">
        <f>+E11*8.5%</f>
        <v>56.071950000000001</v>
      </c>
      <c r="H11" s="16">
        <f>+E11*10%</f>
        <v>65.966999999999999</v>
      </c>
      <c r="I11" s="16">
        <v>12</v>
      </c>
      <c r="J11" s="16"/>
      <c r="K11" s="16"/>
      <c r="L11" s="16"/>
      <c r="M11" s="16"/>
      <c r="N11" s="15"/>
      <c r="O11" s="16">
        <f t="shared" si="0"/>
        <v>525.63104999999996</v>
      </c>
      <c r="P11" s="16">
        <v>525.63104999999996</v>
      </c>
      <c r="Q11" s="16">
        <v>0</v>
      </c>
      <c r="R11" s="16">
        <v>0</v>
      </c>
      <c r="S11" s="16">
        <v>0</v>
      </c>
      <c r="T11" s="16">
        <v>-3191.5381000000002</v>
      </c>
      <c r="U11" s="15">
        <v>39999</v>
      </c>
      <c r="V11" s="16">
        <v>65.966999999999999</v>
      </c>
      <c r="W11" s="16">
        <v>0</v>
      </c>
      <c r="X11" s="16">
        <v>356.25299999999999</v>
      </c>
    </row>
    <row r="12" spans="1:24" x14ac:dyDescent="0.25">
      <c r="A12" s="1" t="s">
        <v>72</v>
      </c>
      <c r="B12" s="15">
        <v>39826</v>
      </c>
      <c r="C12" s="15"/>
      <c r="D12" s="15"/>
      <c r="E12" s="16">
        <v>374.67</v>
      </c>
      <c r="F12" s="16"/>
      <c r="G12" s="16">
        <f>+E12*8.5%</f>
        <v>31.846950000000003</v>
      </c>
      <c r="H12" s="16">
        <f>+E12*10%</f>
        <v>37.467000000000006</v>
      </c>
      <c r="I12" s="16">
        <v>15</v>
      </c>
      <c r="J12" s="16"/>
      <c r="K12" s="16"/>
      <c r="L12" s="16"/>
      <c r="M12" s="16"/>
      <c r="N12" s="15"/>
      <c r="O12" s="16">
        <f t="shared" si="0"/>
        <v>290.35605000000004</v>
      </c>
      <c r="P12" s="16">
        <v>290.35604999999998</v>
      </c>
      <c r="Q12" s="16">
        <v>0</v>
      </c>
      <c r="R12" s="16">
        <v>0</v>
      </c>
      <c r="S12" s="16">
        <v>0</v>
      </c>
      <c r="T12" s="16">
        <v>-2901.1819999999998</v>
      </c>
      <c r="U12" s="15">
        <v>40006</v>
      </c>
      <c r="V12" s="16">
        <v>37.466999999999999</v>
      </c>
      <c r="W12" s="16">
        <v>0</v>
      </c>
      <c r="X12" s="16">
        <v>393.72</v>
      </c>
    </row>
    <row r="13" spans="1:24" x14ac:dyDescent="0.25">
      <c r="A13" s="1" t="s">
        <v>73</v>
      </c>
      <c r="B13" s="15">
        <v>39833</v>
      </c>
      <c r="C13" s="15"/>
      <c r="D13" s="15"/>
      <c r="E13" s="16">
        <v>999.43</v>
      </c>
      <c r="F13" s="16"/>
      <c r="G13" s="16">
        <f>+E13*8.5%</f>
        <v>84.951549999999997</v>
      </c>
      <c r="H13" s="16">
        <f>+E13*10%</f>
        <v>99.942999999999998</v>
      </c>
      <c r="I13" s="16">
        <v>14</v>
      </c>
      <c r="J13" s="16"/>
      <c r="K13" s="16"/>
      <c r="L13" s="16"/>
      <c r="M13" s="16"/>
      <c r="N13" s="15"/>
      <c r="O13" s="16">
        <f t="shared" si="0"/>
        <v>800.53544999999997</v>
      </c>
      <c r="P13" s="16">
        <v>800.53544999999997</v>
      </c>
      <c r="Q13" s="16">
        <v>0</v>
      </c>
      <c r="R13" s="16">
        <v>0</v>
      </c>
      <c r="S13" s="16">
        <v>0</v>
      </c>
      <c r="T13" s="16">
        <v>-2100.6466</v>
      </c>
      <c r="U13" s="15">
        <v>40013</v>
      </c>
      <c r="V13" s="16">
        <v>99.942999999999998</v>
      </c>
      <c r="W13" s="16">
        <v>0</v>
      </c>
      <c r="X13" s="16">
        <v>493.66300000000001</v>
      </c>
    </row>
    <row r="14" spans="1:24" x14ac:dyDescent="0.25">
      <c r="A14" s="1" t="s">
        <v>74</v>
      </c>
      <c r="B14" s="15">
        <v>39840</v>
      </c>
      <c r="C14" s="15"/>
      <c r="D14" s="15"/>
      <c r="E14" s="16">
        <v>599.79999999999995</v>
      </c>
      <c r="F14" s="16"/>
      <c r="G14" s="16">
        <f>+E14*8.5%</f>
        <v>50.982999999999997</v>
      </c>
      <c r="H14" s="16">
        <f>+E14*10%</f>
        <v>59.98</v>
      </c>
      <c r="I14" s="16">
        <v>13</v>
      </c>
      <c r="J14" s="16"/>
      <c r="K14" s="16"/>
      <c r="L14" s="16"/>
      <c r="M14" s="16"/>
      <c r="N14" s="15"/>
      <c r="O14" s="16">
        <f t="shared" si="0"/>
        <v>475.83699999999999</v>
      </c>
      <c r="P14" s="16">
        <v>475.83699999999999</v>
      </c>
      <c r="Q14" s="16">
        <v>0</v>
      </c>
      <c r="R14" s="16">
        <v>0</v>
      </c>
      <c r="S14" s="16">
        <v>0</v>
      </c>
      <c r="T14" s="16">
        <v>-1624.8096</v>
      </c>
      <c r="U14" s="15">
        <v>40020</v>
      </c>
      <c r="V14" s="16">
        <v>59.98</v>
      </c>
      <c r="W14" s="16">
        <v>0</v>
      </c>
      <c r="X14" s="16">
        <v>553.64300000000003</v>
      </c>
    </row>
    <row r="15" spans="1:24" x14ac:dyDescent="0.25">
      <c r="A15" s="1" t="s">
        <v>75</v>
      </c>
      <c r="B15" s="15">
        <v>39847</v>
      </c>
      <c r="C15" s="15"/>
      <c r="D15" s="15"/>
      <c r="E15" s="16">
        <v>144.91</v>
      </c>
      <c r="F15" s="16"/>
      <c r="G15" s="16">
        <f>+E15*8.5%</f>
        <v>12.317350000000001</v>
      </c>
      <c r="H15" s="16">
        <f>+E15*10%</f>
        <v>14.491</v>
      </c>
      <c r="I15" s="16">
        <v>3</v>
      </c>
      <c r="J15" s="16"/>
      <c r="K15" s="16"/>
      <c r="L15" s="16"/>
      <c r="M15" s="16"/>
      <c r="N15" s="15"/>
      <c r="O15" s="16">
        <f t="shared" si="0"/>
        <v>115.10164999999999</v>
      </c>
      <c r="P15" s="16">
        <v>115.10165000000001</v>
      </c>
      <c r="Q15" s="16">
        <v>0</v>
      </c>
      <c r="R15" s="16">
        <v>0</v>
      </c>
      <c r="S15" s="16">
        <v>0</v>
      </c>
      <c r="T15" s="16">
        <v>-1509.7079000000001</v>
      </c>
      <c r="U15" s="15">
        <v>40027</v>
      </c>
      <c r="V15" s="16">
        <v>14.491</v>
      </c>
      <c r="W15" s="16">
        <v>0</v>
      </c>
      <c r="X15" s="16">
        <v>568.13400000000001</v>
      </c>
    </row>
    <row r="16" spans="1:24" x14ac:dyDescent="0.25">
      <c r="A16" s="1" t="s">
        <v>76</v>
      </c>
      <c r="B16" s="15">
        <v>39854</v>
      </c>
      <c r="C16" s="15"/>
      <c r="D16" s="15"/>
      <c r="E16" s="16">
        <v>699.59</v>
      </c>
      <c r="F16" s="16"/>
      <c r="G16" s="16">
        <f>+E16*8.5%</f>
        <v>59.465150000000008</v>
      </c>
      <c r="H16" s="16">
        <f>+E16*10%</f>
        <v>69.959000000000003</v>
      </c>
      <c r="I16" s="16">
        <v>11</v>
      </c>
      <c r="J16" s="16"/>
      <c r="K16" s="16"/>
      <c r="L16" s="16"/>
      <c r="M16" s="16"/>
      <c r="N16" s="15"/>
      <c r="O16" s="16">
        <f>+E16-F16-G16-H16-I16-L16-M16-J16-K16</f>
        <v>559.16585000000009</v>
      </c>
      <c r="P16" s="16">
        <v>559.16584999999998</v>
      </c>
      <c r="Q16" s="16">
        <v>0</v>
      </c>
      <c r="R16" s="16">
        <v>0</v>
      </c>
      <c r="S16" s="16">
        <v>0</v>
      </c>
      <c r="T16" s="16">
        <v>-950.5421</v>
      </c>
      <c r="U16" s="15">
        <v>40034</v>
      </c>
      <c r="V16" s="16">
        <v>69.959000000000003</v>
      </c>
      <c r="W16" s="16">
        <v>0</v>
      </c>
      <c r="X16" s="16">
        <v>638.09299999999996</v>
      </c>
    </row>
    <row r="17" spans="1:24" x14ac:dyDescent="0.25">
      <c r="A17" s="1" t="s">
        <v>77</v>
      </c>
      <c r="B17" s="15">
        <v>39861</v>
      </c>
      <c r="C17" s="15"/>
      <c r="D17" s="15"/>
      <c r="E17" s="16">
        <v>605.6</v>
      </c>
      <c r="F17" s="16"/>
      <c r="G17" s="16">
        <f>+E17*8.5%</f>
        <v>51.476000000000006</v>
      </c>
      <c r="H17" s="16">
        <f>+E17*10%</f>
        <v>60.56</v>
      </c>
      <c r="I17" s="16">
        <v>11</v>
      </c>
      <c r="J17" s="16"/>
      <c r="K17" s="16"/>
      <c r="L17" s="16"/>
      <c r="M17" s="16"/>
      <c r="N17" s="15"/>
      <c r="O17" s="16">
        <f t="shared" si="0"/>
        <v>482.56400000000002</v>
      </c>
      <c r="P17" s="16">
        <v>482.56400000000002</v>
      </c>
      <c r="Q17" s="16">
        <v>0</v>
      </c>
      <c r="R17" s="16">
        <v>0</v>
      </c>
      <c r="S17" s="16">
        <v>0</v>
      </c>
      <c r="T17" s="16">
        <v>-467.97809999999998</v>
      </c>
      <c r="U17" s="15">
        <v>40041</v>
      </c>
      <c r="V17" s="16">
        <v>60.56</v>
      </c>
      <c r="W17" s="16">
        <v>0</v>
      </c>
      <c r="X17" s="16">
        <v>698.65300000000002</v>
      </c>
    </row>
    <row r="18" spans="1:24" x14ac:dyDescent="0.25">
      <c r="A18" s="1"/>
      <c r="C18" s="15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5"/>
      <c r="O18" s="16"/>
      <c r="P18" s="16"/>
      <c r="R18" s="16"/>
      <c r="S18" s="16"/>
      <c r="T18" s="16"/>
      <c r="V18" s="16"/>
      <c r="W18" s="16"/>
      <c r="X18" s="16"/>
    </row>
    <row r="19" spans="1:24" x14ac:dyDescent="0.25">
      <c r="P19" s="34">
        <f>SUM(P5:P18)</f>
        <v>-467.97805000000034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DNP</vt:lpstr>
      <vt:lpstr>QP16 VIP</vt:lpstr>
      <vt:lpstr>QP18 NB</vt:lpstr>
      <vt:lpstr>SUMMARY!Print_Area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2013-02-22T18:26:18Z</dcterms:created>
  <dcterms:modified xsi:type="dcterms:W3CDTF">2013-02-22T23:41:23Z</dcterms:modified>
</cp:coreProperties>
</file>