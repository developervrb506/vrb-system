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activeTab="7"/>
  </bookViews>
  <sheets>
    <sheet name="DNP" sheetId="1" r:id="rId1"/>
    <sheet name="QP" sheetId="2" r:id="rId2"/>
    <sheet name="QP1" sheetId="3" r:id="rId3"/>
    <sheet name="DF" sheetId="4" r:id="rId4"/>
    <sheet name="DGSDNP" sheetId="5" r:id="rId5"/>
    <sheet name="DGSQP" sheetId="6" r:id="rId6"/>
    <sheet name="DGSQP1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5" i="8" l="1"/>
  <c r="B15" i="8"/>
  <c r="B14" i="8"/>
  <c r="B13" i="8"/>
  <c r="B12" i="8"/>
  <c r="B8" i="8"/>
  <c r="B4" i="8"/>
  <c r="B3" i="8"/>
  <c r="B2" i="8"/>
</calcChain>
</file>

<file path=xl/sharedStrings.xml><?xml version="1.0" encoding="utf-8"?>
<sst xmlns="http://schemas.openxmlformats.org/spreadsheetml/2006/main" count="957" uniqueCount="304">
  <si>
    <t>Transaction ID</t>
  </si>
  <si>
    <t>Date</t>
  </si>
  <si>
    <t>User Email</t>
  </si>
  <si>
    <t>User Name</t>
  </si>
  <si>
    <t>User State</t>
  </si>
  <si>
    <t>User Country</t>
  </si>
  <si>
    <t>User Phone</t>
  </si>
  <si>
    <t>User Age</t>
  </si>
  <si>
    <t>User IP</t>
  </si>
  <si>
    <t>Credit Card Number</t>
  </si>
  <si>
    <t>Credit Card Vendor</t>
  </si>
  <si>
    <t>Credit Card Type</t>
  </si>
  <si>
    <t>Credit Card Bank</t>
  </si>
  <si>
    <t>Amount</t>
  </si>
  <si>
    <t>Fee</t>
  </si>
  <si>
    <t>Status</t>
  </si>
  <si>
    <t>Transaction Comment</t>
  </si>
  <si>
    <t>Order ID</t>
  </si>
  <si>
    <t>Merchant</t>
  </si>
  <si>
    <t>Refunded</t>
  </si>
  <si>
    <t>JEFFCORDON@ME.COM</t>
  </si>
  <si>
    <t>Jeff Cordon</t>
  </si>
  <si>
    <t>CA</t>
  </si>
  <si>
    <t>USA</t>
  </si>
  <si>
    <t>174.254.33.145</t>
  </si>
  <si>
    <t>436618***9412</t>
  </si>
  <si>
    <t>VISA</t>
  </si>
  <si>
    <t>Debit</t>
  </si>
  <si>
    <t>U.S. BANK, N.A.</t>
  </si>
  <si>
    <t>Approved</t>
  </si>
  <si>
    <t>CHARGEVERIFY (48568353): passed</t>
  </si>
  <si>
    <t>Merchant 2295</t>
  </si>
  <si>
    <t>Djr00126@gmail.com</t>
  </si>
  <si>
    <t>Dominick Ramondelli</t>
  </si>
  <si>
    <t>NY</t>
  </si>
  <si>
    <t>97.62.85.102</t>
  </si>
  <si>
    <t>420767***3259</t>
  </si>
  <si>
    <t>JPMORGAN CHASE BANK, N.A.</t>
  </si>
  <si>
    <t>CHARGEVERIFY (48553626): passed</t>
  </si>
  <si>
    <t>SPG2010@AOL.COM</t>
  </si>
  <si>
    <t>Bryan Garris</t>
  </si>
  <si>
    <t>VA</t>
  </si>
  <si>
    <t>72.66.20.186</t>
  </si>
  <si>
    <t>441840***5120</t>
  </si>
  <si>
    <t>Credit</t>
  </si>
  <si>
    <t>FIRST NATIONAL BANK OF OMAHA</t>
  </si>
  <si>
    <t>CHARGEVERIFY (48519126): passed</t>
  </si>
  <si>
    <t>97.32.163.196</t>
  </si>
  <si>
    <t>CHARGEVERIFY (48519083): passed</t>
  </si>
  <si>
    <t>Andrew@sbstore.com</t>
  </si>
  <si>
    <t>Andrew Rueve</t>
  </si>
  <si>
    <t>IL</t>
  </si>
  <si>
    <t>69.38.193.186</t>
  </si>
  <si>
    <t>478200***9814</t>
  </si>
  <si>
    <t>CHARGEVERIFY (48503198): passed</t>
  </si>
  <si>
    <t>CHARGEVERIFY (48490389): passed</t>
  </si>
  <si>
    <t>97.250.40.4</t>
  </si>
  <si>
    <t>CHARGEVERIFY (48483367): passed</t>
  </si>
  <si>
    <t>kadekearney@yahoo.com</t>
  </si>
  <si>
    <t>Matthew Kearney</t>
  </si>
  <si>
    <t>MN</t>
  </si>
  <si>
    <t>76.164.59.138</t>
  </si>
  <si>
    <t>432371***2932</t>
  </si>
  <si>
    <t>WELLS FARGO BANK, N.A.</t>
  </si>
  <si>
    <t>CHARGEVERIFY (48452534): passed</t>
  </si>
  <si>
    <t>PAUL_BYERS71@YAHOO.COM</t>
  </si>
  <si>
    <t>Paul Byers</t>
  </si>
  <si>
    <t>TX</t>
  </si>
  <si>
    <t>172.1.114.70</t>
  </si>
  <si>
    <t>434256***5871</t>
  </si>
  <si>
    <t>CHARGEVERIFY (48451525): passed</t>
  </si>
  <si>
    <t>snakeii@comcast.net</t>
  </si>
  <si>
    <t>Rob Johansen</t>
  </si>
  <si>
    <t>MA</t>
  </si>
  <si>
    <t>76.23.225.188</t>
  </si>
  <si>
    <t>412061***5064</t>
  </si>
  <si>
    <t>MERRICK BANK CORPORATION</t>
  </si>
  <si>
    <t>CHARGEVERIFY (48450777): passed</t>
  </si>
  <si>
    <t>174.235.69.183</t>
  </si>
  <si>
    <t>CHARGEVERIFY (48445152): passed</t>
  </si>
  <si>
    <t>CHARGEVERIFY (48406958): passed</t>
  </si>
  <si>
    <t>98.116.99.168</t>
  </si>
  <si>
    <t>CHARGEVERIFY (48398533): passed</t>
  </si>
  <si>
    <t>CHARGEVERIFY (48392188): passed</t>
  </si>
  <si>
    <t>emiller14@triad.rr.com</t>
  </si>
  <si>
    <t>Elmer Miller</t>
  </si>
  <si>
    <t>NC</t>
  </si>
  <si>
    <t>24.211.174.203</t>
  </si>
  <si>
    <t>423882***5922</t>
  </si>
  <si>
    <t>SUMMIT C.U.</t>
  </si>
  <si>
    <t>CHARGEVERIFY (48389054): passed</t>
  </si>
  <si>
    <t>QUICKCATCLAIMS@YAHOO.COM</t>
  </si>
  <si>
    <t>Ray Meyer</t>
  </si>
  <si>
    <t>FL</t>
  </si>
  <si>
    <t>50.14.41.90</t>
  </si>
  <si>
    <t>473702***0819</t>
  </si>
  <si>
    <t>CHARGEVERIFY (48372088): passed</t>
  </si>
  <si>
    <t>bugsybear12@yahoo.com</t>
  </si>
  <si>
    <t>Michael Minton</t>
  </si>
  <si>
    <t>KY</t>
  </si>
  <si>
    <t>74.130.236.178</t>
  </si>
  <si>
    <t>415976***3140</t>
  </si>
  <si>
    <t>BRANCH BANKING AND TRUST COMPANY</t>
  </si>
  <si>
    <t>CHARGEVERIFY (48366701): passed</t>
  </si>
  <si>
    <t>CHARGEVERIFY (48364987): passed</t>
  </si>
  <si>
    <t>97.251.146.37</t>
  </si>
  <si>
    <t>CHARGEVERIFY (48361819): passed</t>
  </si>
  <si>
    <t>rangers222@yahoo.com</t>
  </si>
  <si>
    <t>Gene Cirulli</t>
  </si>
  <si>
    <t>108.6.26.210</t>
  </si>
  <si>
    <t>433443***9576</t>
  </si>
  <si>
    <t>WEBSTER BANK, N.A.</t>
  </si>
  <si>
    <t>CHARGEVERIFY (48358180): passed</t>
  </si>
  <si>
    <t>CHARGEVERIFY (48356911): passed</t>
  </si>
  <si>
    <t>sawalker109@live.com</t>
  </si>
  <si>
    <t>Sequoyah Walker</t>
  </si>
  <si>
    <t>50.140.95.252</t>
  </si>
  <si>
    <t>474476***7718</t>
  </si>
  <si>
    <t>BANK OF AMERICA, N.A.</t>
  </si>
  <si>
    <t>CHARGEVERIFY (48334616): passed</t>
  </si>
  <si>
    <t>sangyounbak@gmail.com</t>
  </si>
  <si>
    <t>Sangyoun Bak</t>
  </si>
  <si>
    <t>74.101.225.253</t>
  </si>
  <si>
    <t>420767***3361</t>
  </si>
  <si>
    <t>CHARGEVERIFY (48321038): passed</t>
  </si>
  <si>
    <t>CHARGEVERIFY (48303811): passed</t>
  </si>
  <si>
    <t>CHARGEVERIFY (48284697): passed</t>
  </si>
  <si>
    <t>CHARGEVERIFY (48279274): passed</t>
  </si>
  <si>
    <t>APPROVED</t>
  </si>
  <si>
    <t>PAYMENTSERV.COM +18772924507</t>
  </si>
  <si>
    <t>Matthew</t>
  </si>
  <si>
    <t>Guy</t>
  </si>
  <si>
    <t>28269</t>
  </si>
  <si>
    <t>CHARLOTTE</t>
  </si>
  <si>
    <t>US</t>
  </si>
  <si>
    <t>MARBURY RD</t>
  </si>
  <si>
    <t>Matthew Guy</t>
  </si>
  <si>
    <t>www.sportsbettingonline.ag</t>
  </si>
  <si>
    <t>ID</t>
  </si>
  <si>
    <t>Reference</t>
  </si>
  <si>
    <t>ID Assigned</t>
  </si>
  <si>
    <t>Status Description</t>
  </si>
  <si>
    <t>Descriptor</t>
  </si>
  <si>
    <t>Creation Date</t>
  </si>
  <si>
    <t>Modified Date</t>
  </si>
  <si>
    <t>Merchant Date</t>
  </si>
  <si>
    <t>Type</t>
  </si>
  <si>
    <t>IPAddress</t>
  </si>
  <si>
    <t>Customer First Name</t>
  </si>
  <si>
    <t>Customer Last Name</t>
  </si>
  <si>
    <t>Customer Zip Code</t>
  </si>
  <si>
    <t>Customer City</t>
  </si>
  <si>
    <t>Customer State</t>
  </si>
  <si>
    <t>Customer Country</t>
  </si>
  <si>
    <t>Customer Address</t>
  </si>
  <si>
    <t>Merchant Account Name</t>
  </si>
  <si>
    <t>Bank Account Name</t>
  </si>
  <si>
    <t>Exp. Month</t>
  </si>
  <si>
    <t>Exp. Year</t>
  </si>
  <si>
    <t>Name On CC</t>
  </si>
  <si>
    <t>Domain</t>
  </si>
  <si>
    <t>facb3b29-d688-40f4-9cb6-3e7354a75721</t>
  </si>
  <si>
    <t>895</t>
  </si>
  <si>
    <t>103072761438</t>
  </si>
  <si>
    <t>QW-01-0-Payment Success</t>
  </si>
  <si>
    <t>WII-ESHOP-COME S.R.O</t>
  </si>
  <si>
    <t>2013-01-26 04:09:01</t>
  </si>
  <si>
    <t>2013-01-26 12:09:07</t>
  </si>
  <si>
    <t>2013-01-26 04:09:00</t>
  </si>
  <si>
    <t>70.181.188.86</t>
  </si>
  <si>
    <t>Sean</t>
  </si>
  <si>
    <t>Ferrero</t>
  </si>
  <si>
    <t>91935</t>
  </si>
  <si>
    <t>JAMUL</t>
  </si>
  <si>
    <t>3185 RAVEN HILL ROAD</t>
  </si>
  <si>
    <t>[QPPMT18]SBO_QW_Live_Visa</t>
  </si>
  <si>
    <t>(QPPMT18)QWIPI_Visa_Live</t>
  </si>
  <si>
    <t>5</t>
  </si>
  <si>
    <t>2015</t>
  </si>
  <si>
    <t>Sean Ferrero</t>
  </si>
  <si>
    <t>************0952</t>
  </si>
  <si>
    <t>857bd498-4ea7-45af-8e56-510c5c92dfa9</t>
  </si>
  <si>
    <t>838</t>
  </si>
  <si>
    <t>103072697940</t>
  </si>
  <si>
    <t>2013-01-22 23:56:33</t>
  </si>
  <si>
    <t>2013-01-23 07:56:39</t>
  </si>
  <si>
    <t>2013-01-22 11:56:50</t>
  </si>
  <si>
    <t>166.147.126.200</t>
  </si>
  <si>
    <t>6</t>
  </si>
  <si>
    <t>************2015</t>
  </si>
  <si>
    <t>df4c9136-f41e-40ba-be94-9c06ac0558d2</t>
  </si>
  <si>
    <t>834</t>
  </si>
  <si>
    <t>103072696273</t>
  </si>
  <si>
    <t>2013-01-22 21:59:04</t>
  </si>
  <si>
    <t>2013-01-23 05:59:12</t>
  </si>
  <si>
    <t>2013-01-22 09:59:19</t>
  </si>
  <si>
    <t>97.249.205.45</t>
  </si>
  <si>
    <t>Dominick</t>
  </si>
  <si>
    <t>Ramondelli</t>
  </si>
  <si>
    <t>10701</t>
  </si>
  <si>
    <t>Yonkers</t>
  </si>
  <si>
    <t>15 Burtis Ave</t>
  </si>
  <si>
    <t>11</t>
  </si>
  <si>
    <t>************3259</t>
  </si>
  <si>
    <t>13592f2f-3543-4aae-bada-3c256a95c5db</t>
  </si>
  <si>
    <t>821</t>
  </si>
  <si>
    <t>103072677838</t>
  </si>
  <si>
    <t>2013-01-21 19:17:53</t>
  </si>
  <si>
    <t>2013-01-22 03:18:01</t>
  </si>
  <si>
    <t>2013-01-21 07:18:03</t>
  </si>
  <si>
    <t>SBO5074</t>
  </si>
  <si>
    <t>DNP</t>
  </si>
  <si>
    <t>Y</t>
  </si>
  <si>
    <t>CR</t>
  </si>
  <si>
    <t>INTERNET</t>
  </si>
  <si>
    <t>SBO6160</t>
  </si>
  <si>
    <t>SBO6855</t>
  </si>
  <si>
    <t>SBO6685</t>
  </si>
  <si>
    <t>SBO7062</t>
  </si>
  <si>
    <t>SBO5266</t>
  </si>
  <si>
    <t>QP1</t>
  </si>
  <si>
    <t>SBO6182</t>
  </si>
  <si>
    <t>SBO5815</t>
  </si>
  <si>
    <t>SBO6080</t>
  </si>
  <si>
    <t>SBOMG8438</t>
  </si>
  <si>
    <t>QP</t>
  </si>
  <si>
    <t>eb04dff4-686c-4140-8dfa-f06ee1fcdae9</t>
  </si>
  <si>
    <t>SBO7052</t>
  </si>
  <si>
    <t>SBORAY</t>
  </si>
  <si>
    <t>SBO7050</t>
  </si>
  <si>
    <t>SBO6474</t>
  </si>
  <si>
    <t>SBO7046</t>
  </si>
  <si>
    <t>SBO DNP</t>
  </si>
  <si>
    <t>DNP-820</t>
  </si>
  <si>
    <t>DNP-820 Reup VISA</t>
  </si>
  <si>
    <t>DNP-823</t>
  </si>
  <si>
    <t>DNP-823 Reup VISA</t>
  </si>
  <si>
    <t>DNP-827</t>
  </si>
  <si>
    <t>DNP-827 Reup VISA</t>
  </si>
  <si>
    <t>DNP-833</t>
  </si>
  <si>
    <t>DNP-833 Reup VISA</t>
  </si>
  <si>
    <t>DNP-840</t>
  </si>
  <si>
    <t>DNP-840 Reup VISA</t>
  </si>
  <si>
    <t>DNP-845</t>
  </si>
  <si>
    <t>DNP-845 Reup VISA</t>
  </si>
  <si>
    <t>DNP-847</t>
  </si>
  <si>
    <t>DNP-847 Reup VISA</t>
  </si>
  <si>
    <t>DNP-850</t>
  </si>
  <si>
    <t>DNP-850 Reup VISA</t>
  </si>
  <si>
    <t>DNP-853</t>
  </si>
  <si>
    <t>DNP-853 Reup VISA</t>
  </si>
  <si>
    <t>DNP-857</t>
  </si>
  <si>
    <t>DNP-857 Reup VISA</t>
  </si>
  <si>
    <t>DNP-859</t>
  </si>
  <si>
    <t>DNP-859 Reup VISA</t>
  </si>
  <si>
    <t>DNP-861</t>
  </si>
  <si>
    <t>DNP-861 Reup VISA</t>
  </si>
  <si>
    <t>DNP-863</t>
  </si>
  <si>
    <t>DNP-863 Reup VISA</t>
  </si>
  <si>
    <t>DNP-865</t>
  </si>
  <si>
    <t>DNP-865 Reup VISA</t>
  </si>
  <si>
    <t>DNP-873</t>
  </si>
  <si>
    <t>DNP-873 Reup VISA</t>
  </si>
  <si>
    <t>DNP-881</t>
  </si>
  <si>
    <t>DNP-881 Reup VISA</t>
  </si>
  <si>
    <t>DNP-883</t>
  </si>
  <si>
    <t>DNP-883 Reup VISA</t>
  </si>
  <si>
    <t>DNP-889</t>
  </si>
  <si>
    <t>DNP-889 Reup VISA</t>
  </si>
  <si>
    <t>DNP-891</t>
  </si>
  <si>
    <t>DNP-891 Reup VISA</t>
  </si>
  <si>
    <t>DNP-900</t>
  </si>
  <si>
    <t>DNP-900 Reup VISA</t>
  </si>
  <si>
    <t>DNP-902</t>
  </si>
  <si>
    <t>DNP-902 Reup VISA</t>
  </si>
  <si>
    <t>DNP-913</t>
  </si>
  <si>
    <t>DNP-913 Reup VISA</t>
  </si>
  <si>
    <t>DNP-923</t>
  </si>
  <si>
    <t>DNP-923 Reup VISA</t>
  </si>
  <si>
    <t>DNP-924</t>
  </si>
  <si>
    <t>DNP-924 Reup VISA</t>
  </si>
  <si>
    <t>DNP-931</t>
  </si>
  <si>
    <t>DNP-931 Reup VISA</t>
  </si>
  <si>
    <t>DNP-933</t>
  </si>
  <si>
    <t>DNP-933 Reup VISA</t>
  </si>
  <si>
    <t>DNP-935</t>
  </si>
  <si>
    <t>DNP-935 Reup VISA</t>
  </si>
  <si>
    <t>SBO QP</t>
  </si>
  <si>
    <t>QP-877</t>
  </si>
  <si>
    <t>QP-877 Reup VISA</t>
  </si>
  <si>
    <t>SBO QP1</t>
  </si>
  <si>
    <t>QP1-821</t>
  </si>
  <si>
    <t>QP1-821 Reup VISA</t>
  </si>
  <si>
    <t>QP1-834</t>
  </si>
  <si>
    <t>QP1-834 Reup VISA</t>
  </si>
  <si>
    <t>QP1-838</t>
  </si>
  <si>
    <t>QP1-838 Reup VISA</t>
  </si>
  <si>
    <t>QP1-895</t>
  </si>
  <si>
    <t>QP1-895 Reup VISA</t>
  </si>
  <si>
    <t>DF</t>
  </si>
  <si>
    <t>DGSDNP</t>
  </si>
  <si>
    <t>DGSQP</t>
  </si>
  <si>
    <t>DGSQP1</t>
  </si>
  <si>
    <t xml:space="preserve">QP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</si>
</sst>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.00"/>
    <numFmt numFmtId="165" formatCode="yyyy\-mm\-dd\ hh:mm:ss"/>
    <numFmt numFmtId="166" formatCode="mmm&quot;-&quot;dd&quot;-&quot;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</font>
    <font>
      <sz val="8"/>
      <color indexed="8"/>
      <name val="Tahoma"/>
    </font>
    <font>
      <sz val="9"/>
      <color rgb="FF4D4D4D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top"/>
      <protection locked="0"/>
    </xf>
    <xf numFmtId="0" fontId="18" fillId="0" borderId="0"/>
  </cellStyleXfs>
  <cellXfs count="42">
    <xf numFmtId="0" fontId="0" fillId="0" borderId="0" xfId="0"/>
    <xf numFmtId="166" fontId="19" fillId="0" borderId="0" xfId="44" applyNumberFormat="1" applyFont="1" applyAlignment="1">
      <alignment vertical="center"/>
    </xf>
    <xf numFmtId="165" fontId="0" fillId="0" borderId="0" xfId="42" applyNumberFormat="1" applyFont="1" applyFill="1" applyBorder="1" applyAlignment="1" applyProtection="1">
      <alignment vertical="top"/>
      <protection locked="0"/>
    </xf>
    <xf numFmtId="0" fontId="19" fillId="0" borderId="0" xfId="44" applyFont="1" applyAlignment="1">
      <alignment vertical="center"/>
    </xf>
    <xf numFmtId="0" fontId="18" fillId="0" borderId="0" xfId="44" applyNumberFormat="1" applyFill="1" applyBorder="1" applyAlignment="1" applyProtection="1"/>
    <xf numFmtId="164" fontId="0" fillId="0" borderId="0" xfId="42" applyNumberFormat="1" applyFont="1" applyFill="1" applyBorder="1" applyAlignment="1" applyProtection="1">
      <alignment vertical="top"/>
      <protection locked="0"/>
    </xf>
    <xf numFmtId="164" fontId="0" fillId="0" borderId="0" xfId="43" applyNumberFormat="1" applyFont="1" applyFill="1" applyBorder="1" applyAlignment="1" applyProtection="1">
      <alignment vertical="top"/>
      <protection locked="0"/>
    </xf>
    <xf numFmtId="3" fontId="19" fillId="0" borderId="0" xfId="44" applyNumberFormat="1" applyFont="1" applyAlignment="1">
      <alignment horizontal="right" vertical="center"/>
    </xf>
    <xf numFmtId="0" fontId="0" fillId="0" borderId="0" xfId="42" applyNumberFormat="1" applyFont="1" applyFill="1" applyBorder="1" applyAlignment="1" applyProtection="1">
      <alignment vertical="top"/>
      <protection locked="0"/>
    </xf>
    <xf numFmtId="166" fontId="19" fillId="0" borderId="0" xfId="44" applyNumberFormat="1" applyFont="1" applyAlignment="1">
      <alignment vertical="center"/>
    </xf>
    <xf numFmtId="0" fontId="19" fillId="0" borderId="0" xfId="44" applyFont="1" applyAlignment="1">
      <alignment vertical="center"/>
    </xf>
    <xf numFmtId="0" fontId="18" fillId="0" borderId="0" xfId="44" applyNumberFormat="1" applyFill="1" applyBorder="1" applyAlignment="1" applyProtection="1"/>
    <xf numFmtId="3" fontId="19" fillId="0" borderId="0" xfId="44" applyNumberFormat="1" applyFont="1" applyAlignment="1">
      <alignment horizontal="right" vertical="center"/>
    </xf>
    <xf numFmtId="0" fontId="0" fillId="0" borderId="0" xfId="0"/>
    <xf numFmtId="22" fontId="0" fillId="0" borderId="0" xfId="0" applyNumberFormat="1"/>
    <xf numFmtId="0" fontId="18" fillId="0" borderId="0" xfId="44" applyNumberFormat="1" applyFill="1" applyBorder="1" applyAlignment="1" applyProtection="1"/>
    <xf numFmtId="0" fontId="0" fillId="0" borderId="0" xfId="0"/>
    <xf numFmtId="22" fontId="0" fillId="0" borderId="0" xfId="0" applyNumberFormat="1"/>
    <xf numFmtId="0" fontId="19" fillId="0" borderId="0" xfId="44" applyFont="1" applyAlignment="1">
      <alignment vertical="center"/>
    </xf>
    <xf numFmtId="166" fontId="19" fillId="0" borderId="0" xfId="44" applyNumberFormat="1" applyFont="1" applyAlignment="1">
      <alignment vertical="center"/>
    </xf>
    <xf numFmtId="3" fontId="19" fillId="0" borderId="0" xfId="44" applyNumberFormat="1" applyFont="1" applyAlignment="1">
      <alignment horizontal="right" vertical="center"/>
    </xf>
    <xf numFmtId="3" fontId="0" fillId="0" borderId="0" xfId="0" applyNumberFormat="1"/>
    <xf numFmtId="0" fontId="6" fillId="2" borderId="0" xfId="6"/>
    <xf numFmtId="0" fontId="7" fillId="3" borderId="0" xfId="7"/>
    <xf numFmtId="0" fontId="1" fillId="11" borderId="0" xfId="20"/>
    <xf numFmtId="0" fontId="0" fillId="0" borderId="0" xfId="0" applyAlignment="1">
      <alignment horizontal="right"/>
    </xf>
    <xf numFmtId="0" fontId="8" fillId="4" borderId="0" xfId="8" applyNumberFormat="1" applyBorder="1" applyAlignment="1" applyProtection="1">
      <alignment horizontal="right" vertical="top"/>
      <protection locked="0"/>
    </xf>
    <xf numFmtId="0" fontId="8" fillId="4" borderId="0" xfId="8"/>
    <xf numFmtId="164" fontId="8" fillId="4" borderId="0" xfId="8" applyNumberFormat="1" applyBorder="1" applyAlignment="1" applyProtection="1">
      <alignment vertical="top"/>
      <protection locked="0"/>
    </xf>
    <xf numFmtId="0" fontId="1" fillId="11" borderId="0" xfId="20" applyAlignment="1">
      <alignment vertical="center"/>
    </xf>
    <xf numFmtId="3" fontId="1" fillId="11" borderId="0" xfId="20" applyNumberFormat="1" applyAlignment="1">
      <alignment horizontal="right" vertical="center"/>
    </xf>
    <xf numFmtId="0" fontId="1" fillId="23" borderId="0" xfId="32" applyAlignment="1">
      <alignment vertical="center"/>
    </xf>
    <xf numFmtId="0" fontId="1" fillId="23" borderId="0" xfId="32"/>
    <xf numFmtId="3" fontId="1" fillId="23" borderId="0" xfId="32" applyNumberFormat="1" applyAlignment="1">
      <alignment horizontal="right" vertical="center"/>
    </xf>
    <xf numFmtId="0" fontId="17" fillId="16" borderId="0" xfId="25" applyAlignment="1">
      <alignment vertical="center"/>
    </xf>
    <xf numFmtId="0" fontId="17" fillId="16" borderId="0" xfId="25"/>
    <xf numFmtId="3" fontId="17" fillId="16" borderId="0" xfId="25" applyNumberFormat="1" applyAlignment="1">
      <alignment horizontal="right" vertical="center"/>
    </xf>
    <xf numFmtId="0" fontId="6" fillId="2" borderId="0" xfId="6" applyAlignment="1">
      <alignment vertical="center"/>
    </xf>
    <xf numFmtId="3" fontId="6" fillId="2" borderId="0" xfId="6" applyNumberFormat="1" applyAlignment="1">
      <alignment horizontal="right" vertical="center"/>
    </xf>
    <xf numFmtId="0" fontId="20" fillId="0" borderId="0" xfId="0" applyFont="1"/>
    <xf numFmtId="0" fontId="7" fillId="3" borderId="0" xfId="7" applyAlignment="1">
      <alignment vertical="center"/>
    </xf>
    <xf numFmtId="3" fontId="7" fillId="3" borderId="0" xfId="7" applyNumberFormat="1" applyAlignment="1">
      <alignment horizontal="right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3" xfId="42"/>
    <cellStyle name="Normal 4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selection activeCell="C28" sqref="C28"/>
    </sheetView>
  </sheetViews>
  <sheetFormatPr defaultRowHeight="15" x14ac:dyDescent="0.25"/>
  <sheetData>
    <row r="1" spans="1:2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 x14ac:dyDescent="0.25">
      <c r="A2" s="13">
        <v>65526761</v>
      </c>
      <c r="B2" s="14">
        <v>41301.999212962961</v>
      </c>
      <c r="C2" s="13" t="s">
        <v>20</v>
      </c>
      <c r="D2" s="13" t="s">
        <v>21</v>
      </c>
      <c r="E2" s="13" t="s">
        <v>22</v>
      </c>
      <c r="F2" s="13" t="s">
        <v>23</v>
      </c>
      <c r="G2" s="13">
        <v>8183269901</v>
      </c>
      <c r="H2" s="13">
        <v>34</v>
      </c>
      <c r="I2" s="13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>
        <v>20</v>
      </c>
      <c r="O2" s="13">
        <v>0.95</v>
      </c>
      <c r="P2" s="13" t="s">
        <v>29</v>
      </c>
      <c r="Q2" s="13" t="s">
        <v>30</v>
      </c>
      <c r="R2" s="13">
        <v>933</v>
      </c>
      <c r="S2" s="13" t="s">
        <v>31</v>
      </c>
      <c r="T2" s="13">
        <v>0</v>
      </c>
    </row>
    <row r="3" spans="1:20" x14ac:dyDescent="0.25">
      <c r="A3" s="13">
        <v>65526033</v>
      </c>
      <c r="B3" s="14">
        <v>41301.811296296299</v>
      </c>
      <c r="C3" s="13" t="s">
        <v>32</v>
      </c>
      <c r="D3" s="13" t="s">
        <v>33</v>
      </c>
      <c r="E3" s="13" t="s">
        <v>34</v>
      </c>
      <c r="F3" s="13" t="s">
        <v>23</v>
      </c>
      <c r="G3" s="13">
        <v>9149804084</v>
      </c>
      <c r="H3" s="13">
        <v>30</v>
      </c>
      <c r="I3" s="13" t="s">
        <v>35</v>
      </c>
      <c r="J3" s="13" t="s">
        <v>36</v>
      </c>
      <c r="K3" s="13" t="s">
        <v>26</v>
      </c>
      <c r="L3" s="13" t="s">
        <v>27</v>
      </c>
      <c r="M3" s="13" t="s">
        <v>37</v>
      </c>
      <c r="N3" s="13">
        <v>70</v>
      </c>
      <c r="O3" s="13">
        <v>0.95</v>
      </c>
      <c r="P3" s="13" t="s">
        <v>29</v>
      </c>
      <c r="Q3" s="13" t="s">
        <v>38</v>
      </c>
      <c r="R3" s="13">
        <v>931</v>
      </c>
      <c r="S3" s="13" t="s">
        <v>31</v>
      </c>
      <c r="T3" s="13">
        <v>0</v>
      </c>
    </row>
    <row r="4" spans="1:20" x14ac:dyDescent="0.25">
      <c r="A4" s="13">
        <v>65524325</v>
      </c>
      <c r="B4" s="14">
        <v>41301.032488425924</v>
      </c>
      <c r="C4" s="13" t="s">
        <v>39</v>
      </c>
      <c r="D4" s="13" t="s">
        <v>40</v>
      </c>
      <c r="E4" s="13" t="s">
        <v>41</v>
      </c>
      <c r="F4" s="13" t="s">
        <v>23</v>
      </c>
      <c r="G4" s="13">
        <v>7033385286</v>
      </c>
      <c r="H4" s="13">
        <v>27</v>
      </c>
      <c r="I4" s="13" t="s">
        <v>42</v>
      </c>
      <c r="J4" s="13" t="s">
        <v>43</v>
      </c>
      <c r="K4" s="13" t="s">
        <v>26</v>
      </c>
      <c r="L4" s="13" t="s">
        <v>44</v>
      </c>
      <c r="M4" s="13" t="s">
        <v>45</v>
      </c>
      <c r="N4" s="13">
        <v>120</v>
      </c>
      <c r="O4" s="13">
        <v>0.95</v>
      </c>
      <c r="P4" s="13" t="s">
        <v>29</v>
      </c>
      <c r="Q4" s="13" t="s">
        <v>46</v>
      </c>
      <c r="R4" s="13">
        <v>924</v>
      </c>
      <c r="S4" s="13" t="s">
        <v>31</v>
      </c>
      <c r="T4" s="13">
        <v>0</v>
      </c>
    </row>
    <row r="5" spans="1:20" x14ac:dyDescent="0.25">
      <c r="A5" s="13">
        <v>65524323</v>
      </c>
      <c r="B5" s="14">
        <v>41301.031134259261</v>
      </c>
      <c r="C5" s="13" t="s">
        <v>32</v>
      </c>
      <c r="D5" s="13" t="s">
        <v>33</v>
      </c>
      <c r="E5" s="13" t="s">
        <v>34</v>
      </c>
      <c r="F5" s="13" t="s">
        <v>23</v>
      </c>
      <c r="G5" s="13">
        <v>9149804084</v>
      </c>
      <c r="H5" s="13">
        <v>30</v>
      </c>
      <c r="I5" s="13" t="s">
        <v>47</v>
      </c>
      <c r="J5" s="13" t="s">
        <v>36</v>
      </c>
      <c r="K5" s="13" t="s">
        <v>26</v>
      </c>
      <c r="L5" s="13" t="s">
        <v>27</v>
      </c>
      <c r="M5" s="13" t="s">
        <v>37</v>
      </c>
      <c r="N5" s="13">
        <v>100</v>
      </c>
      <c r="O5" s="13">
        <v>0.95</v>
      </c>
      <c r="P5" s="13" t="s">
        <v>29</v>
      </c>
      <c r="Q5" s="13" t="s">
        <v>48</v>
      </c>
      <c r="R5" s="13">
        <v>923</v>
      </c>
      <c r="S5" s="13" t="s">
        <v>31</v>
      </c>
      <c r="T5" s="13">
        <v>0</v>
      </c>
    </row>
    <row r="6" spans="1:20" x14ac:dyDescent="0.25">
      <c r="A6" s="13">
        <v>65523548</v>
      </c>
      <c r="B6" s="14">
        <v>41300.866574074076</v>
      </c>
      <c r="C6" s="13" t="s">
        <v>49</v>
      </c>
      <c r="D6" s="13" t="s">
        <v>50</v>
      </c>
      <c r="E6" s="13" t="s">
        <v>51</v>
      </c>
      <c r="F6" s="13" t="s">
        <v>23</v>
      </c>
      <c r="G6" s="13">
        <v>8475073555</v>
      </c>
      <c r="H6" s="13">
        <v>29</v>
      </c>
      <c r="I6" s="13" t="s">
        <v>52</v>
      </c>
      <c r="J6" s="13" t="s">
        <v>53</v>
      </c>
      <c r="K6" s="13" t="s">
        <v>26</v>
      </c>
      <c r="L6" s="13" t="s">
        <v>27</v>
      </c>
      <c r="M6" s="13" t="s">
        <v>37</v>
      </c>
      <c r="N6" s="13">
        <v>50</v>
      </c>
      <c r="O6" s="13">
        <v>0.95</v>
      </c>
      <c r="P6" s="13" t="s">
        <v>29</v>
      </c>
      <c r="Q6" s="13" t="s">
        <v>54</v>
      </c>
      <c r="R6" s="13">
        <v>913</v>
      </c>
      <c r="S6" s="13" t="s">
        <v>31</v>
      </c>
      <c r="T6" s="13">
        <v>0</v>
      </c>
    </row>
    <row r="7" spans="1:20" x14ac:dyDescent="0.25">
      <c r="A7" s="13">
        <v>65522905</v>
      </c>
      <c r="B7" s="14">
        <v>41300.694814814815</v>
      </c>
      <c r="C7" s="13" t="s">
        <v>49</v>
      </c>
      <c r="D7" s="13" t="s">
        <v>50</v>
      </c>
      <c r="E7" s="13" t="s">
        <v>51</v>
      </c>
      <c r="F7" s="13" t="s">
        <v>23</v>
      </c>
      <c r="G7" s="13">
        <v>8475073555</v>
      </c>
      <c r="H7" s="13">
        <v>29</v>
      </c>
      <c r="I7" s="13" t="s">
        <v>52</v>
      </c>
      <c r="J7" s="13" t="s">
        <v>53</v>
      </c>
      <c r="K7" s="13" t="s">
        <v>26</v>
      </c>
      <c r="L7" s="13" t="s">
        <v>27</v>
      </c>
      <c r="M7" s="13" t="s">
        <v>37</v>
      </c>
      <c r="N7" s="13">
        <v>50</v>
      </c>
      <c r="O7" s="13">
        <v>0.95</v>
      </c>
      <c r="P7" s="13" t="s">
        <v>29</v>
      </c>
      <c r="Q7" s="13" t="s">
        <v>55</v>
      </c>
      <c r="R7" s="13">
        <v>902</v>
      </c>
      <c r="S7" s="13" t="s">
        <v>31</v>
      </c>
      <c r="T7" s="13">
        <v>0</v>
      </c>
    </row>
    <row r="8" spans="1:20" x14ac:dyDescent="0.25">
      <c r="A8" s="13">
        <v>65522556</v>
      </c>
      <c r="B8" s="14">
        <v>41300.589467592596</v>
      </c>
      <c r="C8" s="13" t="s">
        <v>32</v>
      </c>
      <c r="D8" s="13" t="s">
        <v>33</v>
      </c>
      <c r="E8" s="13" t="s">
        <v>34</v>
      </c>
      <c r="F8" s="13" t="s">
        <v>23</v>
      </c>
      <c r="G8" s="13">
        <v>9149804084</v>
      </c>
      <c r="H8" s="13">
        <v>30</v>
      </c>
      <c r="I8" s="13" t="s">
        <v>56</v>
      </c>
      <c r="J8" s="13" t="s">
        <v>36</v>
      </c>
      <c r="K8" s="13" t="s">
        <v>26</v>
      </c>
      <c r="L8" s="13" t="s">
        <v>27</v>
      </c>
      <c r="M8" s="13" t="s">
        <v>37</v>
      </c>
      <c r="N8" s="13">
        <v>100</v>
      </c>
      <c r="O8" s="13">
        <v>0.95</v>
      </c>
      <c r="P8" s="13" t="s">
        <v>29</v>
      </c>
      <c r="Q8" s="13" t="s">
        <v>57</v>
      </c>
      <c r="R8" s="13">
        <v>900</v>
      </c>
      <c r="S8" s="13" t="s">
        <v>31</v>
      </c>
      <c r="T8" s="13">
        <v>0</v>
      </c>
    </row>
    <row r="9" spans="1:20" x14ac:dyDescent="0.25">
      <c r="A9" s="13">
        <v>65521042</v>
      </c>
      <c r="B9" s="14">
        <v>41299.975266203706</v>
      </c>
      <c r="C9" s="13" t="s">
        <v>58</v>
      </c>
      <c r="D9" s="13" t="s">
        <v>59</v>
      </c>
      <c r="E9" s="13" t="s">
        <v>60</v>
      </c>
      <c r="F9" s="13" t="s">
        <v>23</v>
      </c>
      <c r="G9" s="13">
        <v>6122094867</v>
      </c>
      <c r="H9" s="13">
        <v>36</v>
      </c>
      <c r="I9" s="13" t="s">
        <v>61</v>
      </c>
      <c r="J9" s="13" t="s">
        <v>62</v>
      </c>
      <c r="K9" s="13" t="s">
        <v>26</v>
      </c>
      <c r="L9" s="13" t="s">
        <v>27</v>
      </c>
      <c r="M9" s="13" t="s">
        <v>63</v>
      </c>
      <c r="N9" s="13">
        <v>250</v>
      </c>
      <c r="O9" s="13">
        <v>0.95</v>
      </c>
      <c r="P9" s="13" t="s">
        <v>29</v>
      </c>
      <c r="Q9" s="13" t="s">
        <v>64</v>
      </c>
      <c r="R9" s="13">
        <v>891</v>
      </c>
      <c r="S9" s="13" t="s">
        <v>31</v>
      </c>
      <c r="T9" s="13">
        <v>0</v>
      </c>
    </row>
    <row r="10" spans="1:20" x14ac:dyDescent="0.25">
      <c r="A10" s="13">
        <v>65520992</v>
      </c>
      <c r="B10" s="14">
        <v>41299.966099537036</v>
      </c>
      <c r="C10" s="13" t="s">
        <v>65</v>
      </c>
      <c r="D10" s="13" t="s">
        <v>66</v>
      </c>
      <c r="E10" s="13" t="s">
        <v>67</v>
      </c>
      <c r="F10" s="13" t="s">
        <v>23</v>
      </c>
      <c r="G10" s="13">
        <v>9157993563</v>
      </c>
      <c r="H10" s="13">
        <v>41</v>
      </c>
      <c r="I10" s="13" t="s">
        <v>68</v>
      </c>
      <c r="J10" s="13" t="s">
        <v>69</v>
      </c>
      <c r="K10" s="13" t="s">
        <v>26</v>
      </c>
      <c r="L10" s="13" t="s">
        <v>27</v>
      </c>
      <c r="M10" s="13" t="s">
        <v>63</v>
      </c>
      <c r="N10" s="13">
        <v>80</v>
      </c>
      <c r="O10" s="13">
        <v>0.95</v>
      </c>
      <c r="P10" s="13" t="s">
        <v>29</v>
      </c>
      <c r="Q10" s="13" t="s">
        <v>70</v>
      </c>
      <c r="R10" s="13">
        <v>889</v>
      </c>
      <c r="S10" s="13" t="s">
        <v>31</v>
      </c>
      <c r="T10" s="13">
        <v>0</v>
      </c>
    </row>
    <row r="11" spans="1:20" x14ac:dyDescent="0.25">
      <c r="A11" s="13">
        <v>65520954</v>
      </c>
      <c r="B11" s="14">
        <v>41299.957569444443</v>
      </c>
      <c r="C11" s="13" t="s">
        <v>71</v>
      </c>
      <c r="D11" s="13" t="s">
        <v>72</v>
      </c>
      <c r="E11" s="13" t="s">
        <v>73</v>
      </c>
      <c r="F11" s="13" t="s">
        <v>23</v>
      </c>
      <c r="G11" s="13">
        <v>6179438311</v>
      </c>
      <c r="H11" s="13">
        <v>48</v>
      </c>
      <c r="I11" s="13" t="s">
        <v>74</v>
      </c>
      <c r="J11" s="13" t="s">
        <v>75</v>
      </c>
      <c r="K11" s="13" t="s">
        <v>26</v>
      </c>
      <c r="L11" s="13" t="s">
        <v>44</v>
      </c>
      <c r="M11" s="13" t="s">
        <v>76</v>
      </c>
      <c r="N11" s="13">
        <v>70</v>
      </c>
      <c r="O11" s="13">
        <v>0.95</v>
      </c>
      <c r="P11" s="13" t="s">
        <v>29</v>
      </c>
      <c r="Q11" s="13" t="s">
        <v>77</v>
      </c>
      <c r="R11" s="13">
        <v>883</v>
      </c>
      <c r="S11" s="13" t="s">
        <v>31</v>
      </c>
      <c r="T11" s="13">
        <v>0</v>
      </c>
    </row>
    <row r="12" spans="1:20" x14ac:dyDescent="0.25">
      <c r="A12" s="13">
        <v>65520683</v>
      </c>
      <c r="B12" s="14">
        <v>41299.87777777778</v>
      </c>
      <c r="C12" s="13" t="s">
        <v>20</v>
      </c>
      <c r="D12" s="13" t="s">
        <v>21</v>
      </c>
      <c r="E12" s="13" t="s">
        <v>22</v>
      </c>
      <c r="F12" s="13" t="s">
        <v>23</v>
      </c>
      <c r="G12" s="13">
        <v>8183269901</v>
      </c>
      <c r="H12" s="13">
        <v>34</v>
      </c>
      <c r="I12" s="13" t="s">
        <v>78</v>
      </c>
      <c r="J12" s="13" t="s">
        <v>25</v>
      </c>
      <c r="K12" s="13" t="s">
        <v>26</v>
      </c>
      <c r="L12" s="13" t="s">
        <v>27</v>
      </c>
      <c r="M12" s="13" t="s">
        <v>28</v>
      </c>
      <c r="N12" s="13">
        <v>40</v>
      </c>
      <c r="O12" s="13">
        <v>0.95</v>
      </c>
      <c r="P12" s="13" t="s">
        <v>29</v>
      </c>
      <c r="Q12" s="13" t="s">
        <v>79</v>
      </c>
      <c r="R12" s="13">
        <v>881</v>
      </c>
      <c r="S12" s="13" t="s">
        <v>31</v>
      </c>
      <c r="T12" s="13">
        <v>0</v>
      </c>
    </row>
    <row r="13" spans="1:20" x14ac:dyDescent="0.25">
      <c r="A13" s="13">
        <v>65518913</v>
      </c>
      <c r="B13" s="14">
        <v>41299.000636574077</v>
      </c>
      <c r="C13" s="13" t="s">
        <v>65</v>
      </c>
      <c r="D13" s="13" t="s">
        <v>66</v>
      </c>
      <c r="E13" s="13" t="s">
        <v>67</v>
      </c>
      <c r="F13" s="13" t="s">
        <v>23</v>
      </c>
      <c r="G13" s="13">
        <v>9157993563</v>
      </c>
      <c r="H13" s="13">
        <v>41</v>
      </c>
      <c r="I13" s="13" t="s">
        <v>68</v>
      </c>
      <c r="J13" s="13" t="s">
        <v>69</v>
      </c>
      <c r="K13" s="13" t="s">
        <v>26</v>
      </c>
      <c r="L13" s="13" t="s">
        <v>27</v>
      </c>
      <c r="M13" s="13" t="s">
        <v>63</v>
      </c>
      <c r="N13" s="13">
        <v>100</v>
      </c>
      <c r="O13" s="13">
        <v>0.95</v>
      </c>
      <c r="P13" s="13" t="s">
        <v>29</v>
      </c>
      <c r="Q13" s="13" t="s">
        <v>80</v>
      </c>
      <c r="R13" s="13">
        <v>873</v>
      </c>
      <c r="S13" s="13" t="s">
        <v>31</v>
      </c>
      <c r="T13" s="13">
        <v>0</v>
      </c>
    </row>
    <row r="14" spans="1:20" x14ac:dyDescent="0.25">
      <c r="A14" s="13">
        <v>65518498</v>
      </c>
      <c r="B14" s="14">
        <v>41298.893194444441</v>
      </c>
      <c r="C14" s="13" t="s">
        <v>32</v>
      </c>
      <c r="D14" s="13" t="s">
        <v>33</v>
      </c>
      <c r="E14" s="13" t="s">
        <v>34</v>
      </c>
      <c r="F14" s="13" t="s">
        <v>23</v>
      </c>
      <c r="G14" s="13">
        <v>9149804084</v>
      </c>
      <c r="H14" s="13">
        <v>30</v>
      </c>
      <c r="I14" s="13" t="s">
        <v>81</v>
      </c>
      <c r="J14" s="13" t="s">
        <v>36</v>
      </c>
      <c r="K14" s="13" t="s">
        <v>26</v>
      </c>
      <c r="L14" s="13" t="s">
        <v>27</v>
      </c>
      <c r="M14" s="13" t="s">
        <v>37</v>
      </c>
      <c r="N14" s="13">
        <v>50</v>
      </c>
      <c r="O14" s="13">
        <v>0.95</v>
      </c>
      <c r="P14" s="13" t="s">
        <v>29</v>
      </c>
      <c r="Q14" s="13" t="s">
        <v>82</v>
      </c>
      <c r="R14" s="13">
        <v>865</v>
      </c>
      <c r="S14" s="13" t="s">
        <v>31</v>
      </c>
      <c r="T14" s="13">
        <v>0</v>
      </c>
    </row>
    <row r="15" spans="1:20" x14ac:dyDescent="0.25">
      <c r="A15" s="13">
        <v>65518235</v>
      </c>
      <c r="B15" s="14">
        <v>41298.778599537036</v>
      </c>
      <c r="C15" s="13" t="s">
        <v>65</v>
      </c>
      <c r="D15" s="13" t="s">
        <v>66</v>
      </c>
      <c r="E15" s="13" t="s">
        <v>67</v>
      </c>
      <c r="F15" s="13" t="s">
        <v>23</v>
      </c>
      <c r="G15" s="13">
        <v>9157993563</v>
      </c>
      <c r="H15" s="13">
        <v>41</v>
      </c>
      <c r="I15" s="13" t="s">
        <v>68</v>
      </c>
      <c r="J15" s="13" t="s">
        <v>69</v>
      </c>
      <c r="K15" s="13" t="s">
        <v>26</v>
      </c>
      <c r="L15" s="13" t="s">
        <v>27</v>
      </c>
      <c r="M15" s="13" t="s">
        <v>63</v>
      </c>
      <c r="N15" s="13">
        <v>100</v>
      </c>
      <c r="O15" s="13">
        <v>0.95</v>
      </c>
      <c r="P15" s="13" t="s">
        <v>29</v>
      </c>
      <c r="Q15" s="13" t="s">
        <v>83</v>
      </c>
      <c r="R15" s="13">
        <v>863</v>
      </c>
      <c r="S15" s="13" t="s">
        <v>31</v>
      </c>
      <c r="T15" s="13">
        <v>0</v>
      </c>
    </row>
    <row r="16" spans="1:20" x14ac:dyDescent="0.25">
      <c r="A16" s="13">
        <v>65518079</v>
      </c>
      <c r="B16" s="14">
        <v>41298.697013888886</v>
      </c>
      <c r="C16" s="13" t="s">
        <v>84</v>
      </c>
      <c r="D16" s="13" t="s">
        <v>85</v>
      </c>
      <c r="E16" s="13" t="s">
        <v>86</v>
      </c>
      <c r="F16" s="13" t="s">
        <v>23</v>
      </c>
      <c r="G16" s="13">
        <v>3363923761</v>
      </c>
      <c r="H16" s="13">
        <v>58</v>
      </c>
      <c r="I16" s="13" t="s">
        <v>87</v>
      </c>
      <c r="J16" s="13" t="s">
        <v>88</v>
      </c>
      <c r="K16" s="13" t="s">
        <v>26</v>
      </c>
      <c r="L16" s="13" t="s">
        <v>27</v>
      </c>
      <c r="M16" s="13" t="s">
        <v>89</v>
      </c>
      <c r="N16" s="13">
        <v>50</v>
      </c>
      <c r="O16" s="13">
        <v>0.95</v>
      </c>
      <c r="P16" s="13" t="s">
        <v>29</v>
      </c>
      <c r="Q16" s="13" t="s">
        <v>90</v>
      </c>
      <c r="R16" s="13">
        <v>861</v>
      </c>
      <c r="S16" s="13" t="s">
        <v>31</v>
      </c>
      <c r="T16" s="13">
        <v>0</v>
      </c>
    </row>
    <row r="17" spans="1:20" x14ac:dyDescent="0.25">
      <c r="A17" s="13">
        <v>65517260</v>
      </c>
      <c r="B17" s="14">
        <v>41298.077164351853</v>
      </c>
      <c r="C17" s="13" t="s">
        <v>91</v>
      </c>
      <c r="D17" s="13" t="s">
        <v>92</v>
      </c>
      <c r="E17" s="13" t="s">
        <v>93</v>
      </c>
      <c r="F17" s="13" t="s">
        <v>23</v>
      </c>
      <c r="G17" s="13">
        <v>3054671314</v>
      </c>
      <c r="H17" s="13">
        <v>55</v>
      </c>
      <c r="I17" s="13" t="s">
        <v>94</v>
      </c>
      <c r="J17" s="13" t="s">
        <v>95</v>
      </c>
      <c r="K17" s="13" t="s">
        <v>26</v>
      </c>
      <c r="L17" s="13" t="s">
        <v>27</v>
      </c>
      <c r="M17" s="13" t="s">
        <v>63</v>
      </c>
      <c r="N17" s="13">
        <v>250</v>
      </c>
      <c r="O17" s="13">
        <v>0.95</v>
      </c>
      <c r="P17" s="13" t="s">
        <v>29</v>
      </c>
      <c r="Q17" s="13" t="s">
        <v>96</v>
      </c>
      <c r="R17" s="13">
        <v>859</v>
      </c>
      <c r="S17" s="13" t="s">
        <v>31</v>
      </c>
      <c r="T17" s="13">
        <v>0</v>
      </c>
    </row>
    <row r="18" spans="1:20" x14ac:dyDescent="0.25">
      <c r="A18" s="13">
        <v>65516995</v>
      </c>
      <c r="B18" s="14">
        <v>41298.003576388888</v>
      </c>
      <c r="C18" s="13" t="s">
        <v>97</v>
      </c>
      <c r="D18" s="13" t="s">
        <v>98</v>
      </c>
      <c r="E18" s="13" t="s">
        <v>99</v>
      </c>
      <c r="F18" s="13" t="s">
        <v>23</v>
      </c>
      <c r="G18" s="13">
        <v>5027771420</v>
      </c>
      <c r="H18" s="13">
        <v>45</v>
      </c>
      <c r="I18" s="13" t="s">
        <v>100</v>
      </c>
      <c r="J18" s="13" t="s">
        <v>101</v>
      </c>
      <c r="K18" s="13" t="s">
        <v>26</v>
      </c>
      <c r="L18" s="13" t="s">
        <v>27</v>
      </c>
      <c r="M18" s="13" t="s">
        <v>102</v>
      </c>
      <c r="N18" s="13">
        <v>250</v>
      </c>
      <c r="O18" s="13">
        <v>0.95</v>
      </c>
      <c r="P18" s="13" t="s">
        <v>29</v>
      </c>
      <c r="Q18" s="13" t="s">
        <v>103</v>
      </c>
      <c r="R18" s="13">
        <v>857</v>
      </c>
      <c r="S18" s="13" t="s">
        <v>31</v>
      </c>
      <c r="T18" s="13">
        <v>0</v>
      </c>
    </row>
    <row r="19" spans="1:20" x14ac:dyDescent="0.25">
      <c r="A19" s="13">
        <v>65516912</v>
      </c>
      <c r="B19" s="14">
        <v>41297.984143518515</v>
      </c>
      <c r="C19" s="13" t="s">
        <v>65</v>
      </c>
      <c r="D19" s="13" t="s">
        <v>66</v>
      </c>
      <c r="E19" s="13" t="s">
        <v>67</v>
      </c>
      <c r="F19" s="13" t="s">
        <v>23</v>
      </c>
      <c r="G19" s="13">
        <v>9157993563</v>
      </c>
      <c r="H19" s="13">
        <v>41</v>
      </c>
      <c r="I19" s="13" t="s">
        <v>68</v>
      </c>
      <c r="J19" s="13" t="s">
        <v>69</v>
      </c>
      <c r="K19" s="13" t="s">
        <v>26</v>
      </c>
      <c r="L19" s="13" t="s">
        <v>27</v>
      </c>
      <c r="M19" s="13" t="s">
        <v>63</v>
      </c>
      <c r="N19" s="13">
        <v>50</v>
      </c>
      <c r="O19" s="13">
        <v>0.95</v>
      </c>
      <c r="P19" s="13" t="s">
        <v>29</v>
      </c>
      <c r="Q19" s="13" t="s">
        <v>104</v>
      </c>
      <c r="R19" s="13">
        <v>853</v>
      </c>
      <c r="S19" s="13" t="s">
        <v>31</v>
      </c>
      <c r="T19" s="13">
        <v>0</v>
      </c>
    </row>
    <row r="20" spans="1:20" x14ac:dyDescent="0.25">
      <c r="A20" s="13">
        <v>65516755</v>
      </c>
      <c r="B20" s="14">
        <v>41297.935856481483</v>
      </c>
      <c r="C20" s="13" t="s">
        <v>32</v>
      </c>
      <c r="D20" s="13" t="s">
        <v>33</v>
      </c>
      <c r="E20" s="13" t="s">
        <v>34</v>
      </c>
      <c r="F20" s="13" t="s">
        <v>23</v>
      </c>
      <c r="G20" s="13">
        <v>9149804084</v>
      </c>
      <c r="H20" s="13">
        <v>30</v>
      </c>
      <c r="I20" s="13" t="s">
        <v>105</v>
      </c>
      <c r="J20" s="13" t="s">
        <v>36</v>
      </c>
      <c r="K20" s="13" t="s">
        <v>26</v>
      </c>
      <c r="L20" s="13" t="s">
        <v>27</v>
      </c>
      <c r="M20" s="13" t="s">
        <v>37</v>
      </c>
      <c r="N20" s="13">
        <v>50</v>
      </c>
      <c r="O20" s="13">
        <v>0.95</v>
      </c>
      <c r="P20" s="13" t="s">
        <v>29</v>
      </c>
      <c r="Q20" s="13" t="s">
        <v>106</v>
      </c>
      <c r="R20" s="13">
        <v>850</v>
      </c>
      <c r="S20" s="13" t="s">
        <v>31</v>
      </c>
      <c r="T20" s="13">
        <v>0</v>
      </c>
    </row>
    <row r="21" spans="1:20" x14ac:dyDescent="0.25">
      <c r="A21" s="13">
        <v>65516573</v>
      </c>
      <c r="B21" s="14">
        <v>41297.848738425928</v>
      </c>
      <c r="C21" s="13" t="s">
        <v>107</v>
      </c>
      <c r="D21" s="13" t="s">
        <v>108</v>
      </c>
      <c r="E21" s="13" t="s">
        <v>34</v>
      </c>
      <c r="F21" s="13" t="s">
        <v>23</v>
      </c>
      <c r="G21" s="13">
        <v>9148319646</v>
      </c>
      <c r="H21" s="13">
        <v>50</v>
      </c>
      <c r="I21" s="13" t="s">
        <v>109</v>
      </c>
      <c r="J21" s="13" t="s">
        <v>110</v>
      </c>
      <c r="K21" s="13" t="s">
        <v>26</v>
      </c>
      <c r="L21" s="13" t="s">
        <v>27</v>
      </c>
      <c r="M21" s="13" t="s">
        <v>111</v>
      </c>
      <c r="N21" s="13">
        <v>25</v>
      </c>
      <c r="O21" s="13">
        <v>0.95</v>
      </c>
      <c r="P21" s="13" t="s">
        <v>29</v>
      </c>
      <c r="Q21" s="13" t="s">
        <v>112</v>
      </c>
      <c r="R21" s="13">
        <v>847</v>
      </c>
      <c r="S21" s="13" t="s">
        <v>31</v>
      </c>
      <c r="T21" s="13">
        <v>0</v>
      </c>
    </row>
    <row r="22" spans="1:20" x14ac:dyDescent="0.25">
      <c r="A22" s="13">
        <v>65516510</v>
      </c>
      <c r="B22" s="14">
        <v>41297.819895833331</v>
      </c>
      <c r="C22" s="13" t="s">
        <v>107</v>
      </c>
      <c r="D22" s="13" t="s">
        <v>108</v>
      </c>
      <c r="E22" s="13" t="s">
        <v>34</v>
      </c>
      <c r="F22" s="13" t="s">
        <v>23</v>
      </c>
      <c r="G22" s="13">
        <v>9148319646</v>
      </c>
      <c r="H22" s="13">
        <v>50</v>
      </c>
      <c r="I22" s="13" t="s">
        <v>109</v>
      </c>
      <c r="J22" s="13" t="s">
        <v>110</v>
      </c>
      <c r="K22" s="13" t="s">
        <v>26</v>
      </c>
      <c r="L22" s="13" t="s">
        <v>27</v>
      </c>
      <c r="M22" s="13" t="s">
        <v>111</v>
      </c>
      <c r="N22" s="13">
        <v>20</v>
      </c>
      <c r="O22" s="13">
        <v>0.95</v>
      </c>
      <c r="P22" s="13" t="s">
        <v>29</v>
      </c>
      <c r="Q22" s="13" t="s">
        <v>113</v>
      </c>
      <c r="R22" s="13">
        <v>845</v>
      </c>
      <c r="S22" s="13" t="s">
        <v>31</v>
      </c>
      <c r="T22" s="13">
        <v>0</v>
      </c>
    </row>
    <row r="23" spans="1:20" x14ac:dyDescent="0.25">
      <c r="A23" s="13">
        <v>65515555</v>
      </c>
      <c r="B23" s="14">
        <v>41297.126319444447</v>
      </c>
      <c r="C23" s="13" t="s">
        <v>114</v>
      </c>
      <c r="D23" s="13" t="s">
        <v>115</v>
      </c>
      <c r="E23" s="13" t="s">
        <v>93</v>
      </c>
      <c r="F23" s="13" t="s">
        <v>23</v>
      </c>
      <c r="G23" s="13">
        <v>5612153055</v>
      </c>
      <c r="H23" s="13">
        <v>54</v>
      </c>
      <c r="I23" s="13" t="s">
        <v>116</v>
      </c>
      <c r="J23" s="13" t="s">
        <v>117</v>
      </c>
      <c r="K23" s="13" t="s">
        <v>26</v>
      </c>
      <c r="L23" s="13" t="s">
        <v>27</v>
      </c>
      <c r="M23" s="13" t="s">
        <v>118</v>
      </c>
      <c r="N23" s="13">
        <v>60</v>
      </c>
      <c r="O23" s="13">
        <v>0.95</v>
      </c>
      <c r="P23" s="13" t="s">
        <v>29</v>
      </c>
      <c r="Q23" s="13" t="s">
        <v>119</v>
      </c>
      <c r="R23" s="13">
        <v>840</v>
      </c>
      <c r="S23" s="13" t="s">
        <v>31</v>
      </c>
      <c r="T23" s="13">
        <v>0</v>
      </c>
    </row>
    <row r="24" spans="1:20" x14ac:dyDescent="0.25">
      <c r="A24" s="13">
        <v>65514877</v>
      </c>
      <c r="B24" s="14">
        <v>41296.903402777774</v>
      </c>
      <c r="C24" s="13" t="s">
        <v>120</v>
      </c>
      <c r="D24" s="13" t="s">
        <v>121</v>
      </c>
      <c r="E24" s="13" t="s">
        <v>34</v>
      </c>
      <c r="F24" s="13" t="s">
        <v>23</v>
      </c>
      <c r="G24" s="13">
        <v>5166737478</v>
      </c>
      <c r="H24" s="13">
        <v>24</v>
      </c>
      <c r="I24" s="13" t="s">
        <v>122</v>
      </c>
      <c r="J24" s="13" t="s">
        <v>123</v>
      </c>
      <c r="K24" s="13" t="s">
        <v>26</v>
      </c>
      <c r="L24" s="13" t="s">
        <v>27</v>
      </c>
      <c r="M24" s="13" t="s">
        <v>37</v>
      </c>
      <c r="N24" s="13">
        <v>50</v>
      </c>
      <c r="O24" s="13">
        <v>0.95</v>
      </c>
      <c r="P24" s="13" t="s">
        <v>29</v>
      </c>
      <c r="Q24" s="13" t="s">
        <v>124</v>
      </c>
      <c r="R24" s="13">
        <v>833</v>
      </c>
      <c r="S24" s="13" t="s">
        <v>31</v>
      </c>
      <c r="T24" s="13">
        <v>0</v>
      </c>
    </row>
    <row r="25" spans="1:20" x14ac:dyDescent="0.25">
      <c r="A25" s="13">
        <v>65514091</v>
      </c>
      <c r="B25" s="14">
        <v>41296.210798611108</v>
      </c>
      <c r="C25" s="13" t="s">
        <v>120</v>
      </c>
      <c r="D25" s="13" t="s">
        <v>121</v>
      </c>
      <c r="E25" s="13" t="s">
        <v>34</v>
      </c>
      <c r="F25" s="13" t="s">
        <v>23</v>
      </c>
      <c r="G25" s="13">
        <v>5166737478</v>
      </c>
      <c r="H25" s="13">
        <v>24</v>
      </c>
      <c r="I25" s="13" t="s">
        <v>122</v>
      </c>
      <c r="J25" s="13" t="s">
        <v>123</v>
      </c>
      <c r="K25" s="13" t="s">
        <v>26</v>
      </c>
      <c r="L25" s="13" t="s">
        <v>27</v>
      </c>
      <c r="M25" s="13" t="s">
        <v>37</v>
      </c>
      <c r="N25" s="13">
        <v>200</v>
      </c>
      <c r="O25" s="13">
        <v>0.95</v>
      </c>
      <c r="P25" s="13" t="s">
        <v>29</v>
      </c>
      <c r="Q25" s="13" t="s">
        <v>125</v>
      </c>
      <c r="R25" s="13">
        <v>827</v>
      </c>
      <c r="S25" s="13" t="s">
        <v>31</v>
      </c>
      <c r="T25" s="13">
        <v>0</v>
      </c>
    </row>
    <row r="26" spans="1:20" x14ac:dyDescent="0.25">
      <c r="A26" s="13">
        <v>65513150</v>
      </c>
      <c r="B26" s="14">
        <v>41295.890810185185</v>
      </c>
      <c r="C26" s="13" t="s">
        <v>65</v>
      </c>
      <c r="D26" s="13" t="s">
        <v>66</v>
      </c>
      <c r="E26" s="13" t="s">
        <v>67</v>
      </c>
      <c r="F26" s="13" t="s">
        <v>23</v>
      </c>
      <c r="G26" s="13">
        <v>9157993563</v>
      </c>
      <c r="H26" s="13">
        <v>41</v>
      </c>
      <c r="I26" s="13" t="s">
        <v>68</v>
      </c>
      <c r="J26" s="13" t="s">
        <v>69</v>
      </c>
      <c r="K26" s="13" t="s">
        <v>26</v>
      </c>
      <c r="L26" s="13" t="s">
        <v>27</v>
      </c>
      <c r="M26" s="13" t="s">
        <v>63</v>
      </c>
      <c r="N26" s="13">
        <v>50</v>
      </c>
      <c r="O26" s="13">
        <v>0.95</v>
      </c>
      <c r="P26" s="13" t="s">
        <v>29</v>
      </c>
      <c r="Q26" s="13" t="s">
        <v>126</v>
      </c>
      <c r="R26" s="13">
        <v>823</v>
      </c>
      <c r="S26" s="13" t="s">
        <v>31</v>
      </c>
      <c r="T26" s="13">
        <v>0</v>
      </c>
    </row>
    <row r="27" spans="1:20" x14ac:dyDescent="0.25">
      <c r="A27" s="13">
        <v>65512883</v>
      </c>
      <c r="B27" s="14">
        <v>41295.787268518521</v>
      </c>
      <c r="C27" s="13" t="s">
        <v>65</v>
      </c>
      <c r="D27" s="13" t="s">
        <v>66</v>
      </c>
      <c r="E27" s="13" t="s">
        <v>67</v>
      </c>
      <c r="F27" s="13" t="s">
        <v>23</v>
      </c>
      <c r="G27" s="13">
        <v>9157993563</v>
      </c>
      <c r="H27" s="13">
        <v>41</v>
      </c>
      <c r="I27" s="13" t="s">
        <v>68</v>
      </c>
      <c r="J27" s="13" t="s">
        <v>69</v>
      </c>
      <c r="K27" s="13" t="s">
        <v>26</v>
      </c>
      <c r="L27" s="13" t="s">
        <v>27</v>
      </c>
      <c r="M27" s="13" t="s">
        <v>63</v>
      </c>
      <c r="N27" s="13">
        <v>60</v>
      </c>
      <c r="O27" s="13">
        <v>0.95</v>
      </c>
      <c r="P27" s="13" t="s">
        <v>29</v>
      </c>
      <c r="Q27" s="13" t="s">
        <v>127</v>
      </c>
      <c r="R27" s="13">
        <v>820</v>
      </c>
      <c r="S27" s="13" t="s">
        <v>31</v>
      </c>
      <c r="T27" s="13">
        <v>0</v>
      </c>
    </row>
    <row r="28" spans="1:20" x14ac:dyDescent="0.25">
      <c r="C28" s="39" t="s">
        <v>108</v>
      </c>
      <c r="N28">
        <v>50</v>
      </c>
      <c r="R28">
        <v>935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G2" sqref="G2"/>
    </sheetView>
  </sheetViews>
  <sheetFormatPr defaultRowHeight="15" x14ac:dyDescent="0.25"/>
  <sheetData>
    <row r="1" spans="1:27" s="16" customFormat="1" x14ac:dyDescent="0.25">
      <c r="A1" s="8" t="s">
        <v>138</v>
      </c>
      <c r="B1" s="8" t="s">
        <v>139</v>
      </c>
      <c r="C1" s="8" t="s">
        <v>140</v>
      </c>
      <c r="D1" s="8" t="s">
        <v>15</v>
      </c>
      <c r="E1" s="8" t="s">
        <v>141</v>
      </c>
      <c r="F1" s="8" t="s">
        <v>13</v>
      </c>
      <c r="G1" s="8" t="s">
        <v>142</v>
      </c>
      <c r="H1" s="8" t="s">
        <v>143</v>
      </c>
      <c r="I1" s="8" t="s">
        <v>144</v>
      </c>
      <c r="J1" s="8" t="s">
        <v>145</v>
      </c>
      <c r="K1" s="8" t="s">
        <v>146</v>
      </c>
      <c r="L1" s="8" t="s">
        <v>147</v>
      </c>
      <c r="M1" s="8" t="s">
        <v>148</v>
      </c>
      <c r="N1" s="8" t="s">
        <v>149</v>
      </c>
      <c r="O1" s="8" t="s">
        <v>150</v>
      </c>
      <c r="P1" s="8" t="s">
        <v>151</v>
      </c>
      <c r="Q1" s="8" t="s">
        <v>152</v>
      </c>
      <c r="R1" s="8" t="s">
        <v>153</v>
      </c>
      <c r="S1" s="8" t="s">
        <v>154</v>
      </c>
      <c r="T1" s="8" t="s">
        <v>155</v>
      </c>
      <c r="U1" s="8" t="s">
        <v>156</v>
      </c>
      <c r="V1" s="8" t="s">
        <v>157</v>
      </c>
      <c r="W1" s="8" t="s">
        <v>158</v>
      </c>
      <c r="X1" s="8" t="s">
        <v>139</v>
      </c>
      <c r="Y1" s="8" t="s">
        <v>159</v>
      </c>
      <c r="Z1" s="8" t="s">
        <v>9</v>
      </c>
      <c r="AA1" s="8" t="s">
        <v>160</v>
      </c>
    </row>
    <row r="2" spans="1:27" x14ac:dyDescent="0.25">
      <c r="A2">
        <v>877</v>
      </c>
      <c r="D2" t="s">
        <v>128</v>
      </c>
      <c r="F2">
        <v>51.94</v>
      </c>
      <c r="G2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selection activeCell="D2" sqref="A2:XFD2"/>
    </sheetView>
  </sheetViews>
  <sheetFormatPr defaultRowHeight="15" x14ac:dyDescent="0.25"/>
  <sheetData>
    <row r="1" spans="1:27" x14ac:dyDescent="0.25">
      <c r="A1" s="8" t="s">
        <v>138</v>
      </c>
      <c r="B1" s="8" t="s">
        <v>139</v>
      </c>
      <c r="C1" s="8" t="s">
        <v>140</v>
      </c>
      <c r="D1" s="8" t="s">
        <v>15</v>
      </c>
      <c r="E1" s="8" t="s">
        <v>141</v>
      </c>
      <c r="F1" s="8" t="s">
        <v>13</v>
      </c>
      <c r="G1" s="8" t="s">
        <v>142</v>
      </c>
      <c r="H1" s="8" t="s">
        <v>143</v>
      </c>
      <c r="I1" s="8" t="s">
        <v>144</v>
      </c>
      <c r="J1" s="8" t="s">
        <v>145</v>
      </c>
      <c r="K1" s="8" t="s">
        <v>146</v>
      </c>
      <c r="L1" s="8" t="s">
        <v>147</v>
      </c>
      <c r="M1" s="8" t="s">
        <v>148</v>
      </c>
      <c r="N1" s="8" t="s">
        <v>149</v>
      </c>
      <c r="O1" s="8" t="s">
        <v>150</v>
      </c>
      <c r="P1" s="8" t="s">
        <v>151</v>
      </c>
      <c r="Q1" s="8" t="s">
        <v>152</v>
      </c>
      <c r="R1" s="8" t="s">
        <v>153</v>
      </c>
      <c r="S1" s="8" t="s">
        <v>154</v>
      </c>
      <c r="T1" s="8" t="s">
        <v>155</v>
      </c>
      <c r="U1" s="8" t="s">
        <v>156</v>
      </c>
      <c r="V1" s="8" t="s">
        <v>157</v>
      </c>
      <c r="W1" s="8" t="s">
        <v>158</v>
      </c>
      <c r="X1" s="8" t="s">
        <v>139</v>
      </c>
      <c r="Y1" s="8" t="s">
        <v>159</v>
      </c>
      <c r="Z1" s="8" t="s">
        <v>9</v>
      </c>
      <c r="AA1" s="8" t="s">
        <v>160</v>
      </c>
    </row>
    <row r="2" spans="1:27" x14ac:dyDescent="0.25">
      <c r="A2" s="8" t="s">
        <v>161</v>
      </c>
      <c r="B2" s="8" t="s">
        <v>162</v>
      </c>
      <c r="C2" s="8" t="s">
        <v>163</v>
      </c>
      <c r="D2" s="8" t="s">
        <v>128</v>
      </c>
      <c r="E2" s="8" t="s">
        <v>164</v>
      </c>
      <c r="F2" s="5">
        <v>249.99</v>
      </c>
      <c r="G2" s="8" t="s">
        <v>165</v>
      </c>
      <c r="H2" s="2" t="s">
        <v>166</v>
      </c>
      <c r="I2" s="2" t="s">
        <v>167</v>
      </c>
      <c r="J2" s="2" t="s">
        <v>168</v>
      </c>
      <c r="K2" s="8" t="s">
        <v>27</v>
      </c>
      <c r="L2" s="8" t="s">
        <v>169</v>
      </c>
      <c r="M2" s="8" t="s">
        <v>170</v>
      </c>
      <c r="N2" s="8" t="s">
        <v>171</v>
      </c>
      <c r="O2" s="8" t="s">
        <v>172</v>
      </c>
      <c r="P2" s="8" t="s">
        <v>173</v>
      </c>
      <c r="Q2" s="8" t="s">
        <v>22</v>
      </c>
      <c r="R2" s="8" t="s">
        <v>134</v>
      </c>
      <c r="S2" s="8" t="s">
        <v>174</v>
      </c>
      <c r="T2" s="8" t="s">
        <v>175</v>
      </c>
      <c r="U2" s="8" t="s">
        <v>176</v>
      </c>
      <c r="V2" s="8" t="s">
        <v>177</v>
      </c>
      <c r="W2" s="8" t="s">
        <v>178</v>
      </c>
      <c r="X2" s="8" t="s">
        <v>162</v>
      </c>
      <c r="Y2" s="8" t="s">
        <v>179</v>
      </c>
      <c r="Z2" s="8" t="s">
        <v>180</v>
      </c>
      <c r="AA2" s="8" t="s">
        <v>137</v>
      </c>
    </row>
    <row r="3" spans="1:27" x14ac:dyDescent="0.25">
      <c r="A3" s="8" t="s">
        <v>181</v>
      </c>
      <c r="B3" s="8" t="s">
        <v>182</v>
      </c>
      <c r="C3" s="8" t="s">
        <v>183</v>
      </c>
      <c r="D3" s="8" t="s">
        <v>128</v>
      </c>
      <c r="E3" s="8" t="s">
        <v>164</v>
      </c>
      <c r="F3" s="5">
        <v>49.97</v>
      </c>
      <c r="G3" s="8" t="s">
        <v>165</v>
      </c>
      <c r="H3" s="2" t="s">
        <v>184</v>
      </c>
      <c r="I3" s="2" t="s">
        <v>185</v>
      </c>
      <c r="J3" s="2" t="s">
        <v>186</v>
      </c>
      <c r="K3" s="8" t="s">
        <v>27</v>
      </c>
      <c r="L3" s="8" t="s">
        <v>187</v>
      </c>
      <c r="M3" s="8" t="s">
        <v>130</v>
      </c>
      <c r="N3" s="8" t="s">
        <v>131</v>
      </c>
      <c r="O3" s="8" t="s">
        <v>132</v>
      </c>
      <c r="P3" s="8" t="s">
        <v>133</v>
      </c>
      <c r="Q3" s="8" t="s">
        <v>86</v>
      </c>
      <c r="R3" s="8" t="s">
        <v>134</v>
      </c>
      <c r="S3" s="8" t="s">
        <v>135</v>
      </c>
      <c r="T3" s="8" t="s">
        <v>175</v>
      </c>
      <c r="U3" s="8" t="s">
        <v>176</v>
      </c>
      <c r="V3" s="8" t="s">
        <v>188</v>
      </c>
      <c r="W3" s="8" t="s">
        <v>178</v>
      </c>
      <c r="X3" s="8" t="s">
        <v>182</v>
      </c>
      <c r="Y3" s="8" t="s">
        <v>136</v>
      </c>
      <c r="Z3" s="8" t="s">
        <v>189</v>
      </c>
      <c r="AA3" s="8" t="s">
        <v>137</v>
      </c>
    </row>
    <row r="4" spans="1:27" x14ac:dyDescent="0.25">
      <c r="A4" s="8" t="s">
        <v>190</v>
      </c>
      <c r="B4" s="8" t="s">
        <v>191</v>
      </c>
      <c r="C4" s="8" t="s">
        <v>192</v>
      </c>
      <c r="D4" s="8" t="s">
        <v>128</v>
      </c>
      <c r="E4" s="8" t="s">
        <v>164</v>
      </c>
      <c r="F4" s="5">
        <v>49.94</v>
      </c>
      <c r="G4" s="8" t="s">
        <v>165</v>
      </c>
      <c r="H4" s="2" t="s">
        <v>193</v>
      </c>
      <c r="I4" s="2" t="s">
        <v>194</v>
      </c>
      <c r="J4" s="2" t="s">
        <v>195</v>
      </c>
      <c r="K4" s="8" t="s">
        <v>27</v>
      </c>
      <c r="L4" s="8" t="s">
        <v>196</v>
      </c>
      <c r="M4" s="8" t="s">
        <v>197</v>
      </c>
      <c r="N4" s="8" t="s">
        <v>198</v>
      </c>
      <c r="O4" s="8" t="s">
        <v>199</v>
      </c>
      <c r="P4" s="8" t="s">
        <v>200</v>
      </c>
      <c r="Q4" s="8" t="s">
        <v>34</v>
      </c>
      <c r="R4" s="8" t="s">
        <v>134</v>
      </c>
      <c r="S4" s="8" t="s">
        <v>201</v>
      </c>
      <c r="T4" s="8" t="s">
        <v>175</v>
      </c>
      <c r="U4" s="8" t="s">
        <v>176</v>
      </c>
      <c r="V4" s="8" t="s">
        <v>202</v>
      </c>
      <c r="W4" s="8" t="s">
        <v>178</v>
      </c>
      <c r="X4" s="8" t="s">
        <v>191</v>
      </c>
      <c r="Y4" s="8" t="s">
        <v>33</v>
      </c>
      <c r="Z4" s="8" t="s">
        <v>203</v>
      </c>
      <c r="AA4" s="8" t="s">
        <v>137</v>
      </c>
    </row>
    <row r="5" spans="1:27" x14ac:dyDescent="0.25">
      <c r="A5" s="8" t="s">
        <v>204</v>
      </c>
      <c r="B5" s="8" t="s">
        <v>205</v>
      </c>
      <c r="C5" s="8" t="s">
        <v>206</v>
      </c>
      <c r="D5" s="8" t="s">
        <v>128</v>
      </c>
      <c r="E5" s="8" t="s">
        <v>164</v>
      </c>
      <c r="F5" s="5">
        <v>99.93</v>
      </c>
      <c r="G5" s="8" t="s">
        <v>165</v>
      </c>
      <c r="H5" s="2" t="s">
        <v>207</v>
      </c>
      <c r="I5" s="2" t="s">
        <v>208</v>
      </c>
      <c r="J5" s="2" t="s">
        <v>209</v>
      </c>
      <c r="K5" s="8" t="s">
        <v>27</v>
      </c>
      <c r="L5" s="8" t="s">
        <v>169</v>
      </c>
      <c r="M5" s="8" t="s">
        <v>170</v>
      </c>
      <c r="N5" s="8" t="s">
        <v>171</v>
      </c>
      <c r="O5" s="8" t="s">
        <v>172</v>
      </c>
      <c r="P5" s="8" t="s">
        <v>173</v>
      </c>
      <c r="Q5" s="8" t="s">
        <v>22</v>
      </c>
      <c r="R5" s="8" t="s">
        <v>134</v>
      </c>
      <c r="S5" s="8" t="s">
        <v>174</v>
      </c>
      <c r="T5" s="8" t="s">
        <v>175</v>
      </c>
      <c r="U5" s="8" t="s">
        <v>176</v>
      </c>
      <c r="V5" s="8" t="s">
        <v>177</v>
      </c>
      <c r="W5" s="8" t="s">
        <v>178</v>
      </c>
      <c r="X5" s="8" t="s">
        <v>205</v>
      </c>
      <c r="Y5" s="8" t="s">
        <v>179</v>
      </c>
      <c r="Z5" s="8" t="s">
        <v>180</v>
      </c>
      <c r="AA5" s="8" t="s">
        <v>137</v>
      </c>
    </row>
    <row r="6" spans="1:27" x14ac:dyDescent="0.25">
      <c r="A6" s="8"/>
      <c r="B6" s="8"/>
      <c r="C6" s="8"/>
      <c r="D6" s="8"/>
      <c r="E6" s="8"/>
      <c r="F6" s="5"/>
      <c r="G6" s="8"/>
      <c r="H6" s="2"/>
      <c r="I6" s="2"/>
      <c r="J6" s="2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5">
      <c r="A7" s="8"/>
      <c r="B7" s="8"/>
      <c r="C7" s="8"/>
      <c r="D7" s="8"/>
      <c r="E7" s="8"/>
      <c r="F7" s="5"/>
      <c r="G7" s="8"/>
      <c r="H7" s="2"/>
      <c r="I7" s="2"/>
      <c r="J7" s="2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3" workbookViewId="0">
      <selection activeCell="B2" sqref="B2"/>
    </sheetView>
  </sheetViews>
  <sheetFormatPr defaultRowHeight="15" x14ac:dyDescent="0.25"/>
  <sheetData>
    <row r="1" spans="1:13" x14ac:dyDescent="0.25">
      <c r="A1" s="16">
        <v>935</v>
      </c>
      <c r="B1" s="16">
        <v>2</v>
      </c>
      <c r="C1" s="16" t="s">
        <v>210</v>
      </c>
      <c r="D1" s="16" t="s">
        <v>108</v>
      </c>
      <c r="E1" s="16" t="s">
        <v>211</v>
      </c>
      <c r="F1" s="16" t="s">
        <v>212</v>
      </c>
      <c r="G1" s="16">
        <v>65502080</v>
      </c>
      <c r="H1" s="16"/>
      <c r="I1" s="16" t="s">
        <v>29</v>
      </c>
      <c r="J1" s="16" t="s">
        <v>213</v>
      </c>
      <c r="K1" s="16">
        <v>50</v>
      </c>
      <c r="L1" s="16" t="s">
        <v>214</v>
      </c>
      <c r="M1" s="17">
        <v>39839.907546296294</v>
      </c>
    </row>
    <row r="2" spans="1:13" x14ac:dyDescent="0.25">
      <c r="A2" s="16">
        <v>933</v>
      </c>
      <c r="B2" s="16">
        <v>1</v>
      </c>
      <c r="C2" s="16" t="s">
        <v>215</v>
      </c>
      <c r="D2" s="16" t="s">
        <v>21</v>
      </c>
      <c r="E2" s="16" t="s">
        <v>211</v>
      </c>
      <c r="F2" s="16" t="s">
        <v>212</v>
      </c>
      <c r="G2" s="16">
        <v>65501724</v>
      </c>
      <c r="H2" s="16"/>
      <c r="I2" s="16" t="s">
        <v>29</v>
      </c>
      <c r="J2" s="16" t="s">
        <v>213</v>
      </c>
      <c r="K2" s="16">
        <v>20</v>
      </c>
      <c r="L2" s="16" t="s">
        <v>214</v>
      </c>
      <c r="M2" s="17">
        <v>39839.790891203702</v>
      </c>
    </row>
    <row r="3" spans="1:13" x14ac:dyDescent="0.25">
      <c r="A3" s="16">
        <v>931</v>
      </c>
      <c r="B3" s="16">
        <v>2</v>
      </c>
      <c r="C3" s="16" t="s">
        <v>216</v>
      </c>
      <c r="D3" s="16" t="s">
        <v>33</v>
      </c>
      <c r="E3" s="16" t="s">
        <v>211</v>
      </c>
      <c r="F3" s="16" t="s">
        <v>212</v>
      </c>
      <c r="G3" s="16">
        <v>65500995</v>
      </c>
      <c r="H3" s="16"/>
      <c r="I3" s="16" t="s">
        <v>29</v>
      </c>
      <c r="J3" s="16" t="s">
        <v>213</v>
      </c>
      <c r="K3" s="16">
        <v>70</v>
      </c>
      <c r="L3" s="16" t="s">
        <v>214</v>
      </c>
      <c r="M3" s="17">
        <v>39839.60297453704</v>
      </c>
    </row>
    <row r="4" spans="1:13" x14ac:dyDescent="0.25">
      <c r="A4" s="16">
        <v>924</v>
      </c>
      <c r="B4" s="16">
        <v>2</v>
      </c>
      <c r="C4" s="16" t="s">
        <v>217</v>
      </c>
      <c r="D4" s="16" t="s">
        <v>40</v>
      </c>
      <c r="E4" s="16" t="s">
        <v>211</v>
      </c>
      <c r="F4" s="16" t="s">
        <v>212</v>
      </c>
      <c r="G4" s="16">
        <v>65499284</v>
      </c>
      <c r="H4" s="16"/>
      <c r="I4" s="16" t="s">
        <v>29</v>
      </c>
      <c r="J4" s="16" t="s">
        <v>213</v>
      </c>
      <c r="K4" s="16">
        <v>120</v>
      </c>
      <c r="L4" s="16" t="s">
        <v>214</v>
      </c>
      <c r="M4" s="17">
        <v>39838.824155092596</v>
      </c>
    </row>
    <row r="5" spans="1:13" x14ac:dyDescent="0.25">
      <c r="A5" s="16">
        <v>923</v>
      </c>
      <c r="B5" s="16">
        <v>2</v>
      </c>
      <c r="C5" s="16" t="s">
        <v>216</v>
      </c>
      <c r="D5" s="16" t="s">
        <v>33</v>
      </c>
      <c r="E5" s="16" t="s">
        <v>211</v>
      </c>
      <c r="F5" s="16" t="s">
        <v>212</v>
      </c>
      <c r="G5" s="16">
        <v>65499282</v>
      </c>
      <c r="H5" s="16"/>
      <c r="I5" s="16" t="s">
        <v>29</v>
      </c>
      <c r="J5" s="16" t="s">
        <v>213</v>
      </c>
      <c r="K5" s="16">
        <v>100</v>
      </c>
      <c r="L5" s="16" t="s">
        <v>214</v>
      </c>
      <c r="M5" s="17">
        <v>39838.822824074072</v>
      </c>
    </row>
    <row r="6" spans="1:13" x14ac:dyDescent="0.25">
      <c r="A6" s="16">
        <v>913</v>
      </c>
      <c r="B6" s="16">
        <v>1</v>
      </c>
      <c r="C6" s="16" t="s">
        <v>218</v>
      </c>
      <c r="D6" s="16" t="s">
        <v>50</v>
      </c>
      <c r="E6" s="16" t="s">
        <v>211</v>
      </c>
      <c r="F6" s="16" t="s">
        <v>212</v>
      </c>
      <c r="G6" s="16">
        <v>65498503</v>
      </c>
      <c r="H6" s="16"/>
      <c r="I6" s="16" t="s">
        <v>29</v>
      </c>
      <c r="J6" s="16" t="s">
        <v>213</v>
      </c>
      <c r="K6" s="16">
        <v>50</v>
      </c>
      <c r="L6" s="16" t="s">
        <v>214</v>
      </c>
      <c r="M6" s="17">
        <v>39838.658252314817</v>
      </c>
    </row>
    <row r="7" spans="1:13" x14ac:dyDescent="0.25">
      <c r="A7" s="16">
        <v>902</v>
      </c>
      <c r="B7" s="16">
        <v>1</v>
      </c>
      <c r="C7" s="16" t="s">
        <v>218</v>
      </c>
      <c r="D7" s="16" t="s">
        <v>50</v>
      </c>
      <c r="E7" s="16" t="s">
        <v>211</v>
      </c>
      <c r="F7" s="16" t="s">
        <v>212</v>
      </c>
      <c r="G7" s="16">
        <v>65497854</v>
      </c>
      <c r="H7" s="16"/>
      <c r="I7" s="16" t="s">
        <v>29</v>
      </c>
      <c r="J7" s="16" t="s">
        <v>213</v>
      </c>
      <c r="K7" s="16">
        <v>50</v>
      </c>
      <c r="L7" s="16" t="s">
        <v>214</v>
      </c>
      <c r="M7" s="17">
        <v>39838.486493055556</v>
      </c>
    </row>
    <row r="8" spans="1:13" x14ac:dyDescent="0.25">
      <c r="A8" s="16">
        <v>900</v>
      </c>
      <c r="B8" s="16">
        <v>2</v>
      </c>
      <c r="C8" s="16" t="s">
        <v>216</v>
      </c>
      <c r="D8" s="16" t="s">
        <v>33</v>
      </c>
      <c r="E8" s="16" t="s">
        <v>211</v>
      </c>
      <c r="F8" s="16" t="s">
        <v>212</v>
      </c>
      <c r="G8" s="16">
        <v>65497502</v>
      </c>
      <c r="H8" s="16"/>
      <c r="I8" s="16" t="s">
        <v>29</v>
      </c>
      <c r="J8" s="16" t="s">
        <v>213</v>
      </c>
      <c r="K8" s="16">
        <v>100</v>
      </c>
      <c r="L8" s="16" t="s">
        <v>214</v>
      </c>
      <c r="M8" s="17">
        <v>39838.381145833337</v>
      </c>
    </row>
    <row r="9" spans="1:13" x14ac:dyDescent="0.25">
      <c r="A9" s="16">
        <v>895</v>
      </c>
      <c r="B9" s="16">
        <v>2</v>
      </c>
      <c r="C9" s="16" t="s">
        <v>219</v>
      </c>
      <c r="D9" s="16" t="s">
        <v>179</v>
      </c>
      <c r="E9" s="16" t="s">
        <v>220</v>
      </c>
      <c r="F9" s="16" t="s">
        <v>212</v>
      </c>
      <c r="G9" s="16" t="s">
        <v>161</v>
      </c>
      <c r="H9" s="16"/>
      <c r="I9" s="16" t="s">
        <v>128</v>
      </c>
      <c r="J9" s="16" t="s">
        <v>213</v>
      </c>
      <c r="K9" s="16">
        <v>250</v>
      </c>
      <c r="L9" s="16" t="s">
        <v>214</v>
      </c>
      <c r="M9" s="17">
        <v>39837.964583333334</v>
      </c>
    </row>
    <row r="10" spans="1:13" x14ac:dyDescent="0.25">
      <c r="A10" s="16">
        <v>891</v>
      </c>
      <c r="B10" s="16">
        <v>1</v>
      </c>
      <c r="C10" s="16" t="s">
        <v>221</v>
      </c>
      <c r="D10" s="16" t="s">
        <v>59</v>
      </c>
      <c r="E10" s="16" t="s">
        <v>211</v>
      </c>
      <c r="F10" s="16" t="s">
        <v>212</v>
      </c>
      <c r="G10" s="16">
        <v>65495982</v>
      </c>
      <c r="H10" s="16"/>
      <c r="I10" s="16" t="s">
        <v>29</v>
      </c>
      <c r="J10" s="16" t="s">
        <v>213</v>
      </c>
      <c r="K10" s="16">
        <v>250</v>
      </c>
      <c r="L10" s="16" t="s">
        <v>214</v>
      </c>
      <c r="M10" s="17">
        <v>39837.766944444447</v>
      </c>
    </row>
    <row r="11" spans="1:13" x14ac:dyDescent="0.25">
      <c r="A11" s="16">
        <v>889</v>
      </c>
      <c r="B11" s="16">
        <v>3</v>
      </c>
      <c r="C11" s="16" t="s">
        <v>222</v>
      </c>
      <c r="D11" s="16" t="s">
        <v>66</v>
      </c>
      <c r="E11" s="16" t="s">
        <v>211</v>
      </c>
      <c r="F11" s="16" t="s">
        <v>212</v>
      </c>
      <c r="G11" s="16">
        <v>65495932</v>
      </c>
      <c r="H11" s="16"/>
      <c r="I11" s="16" t="s">
        <v>29</v>
      </c>
      <c r="J11" s="16" t="s">
        <v>213</v>
      </c>
      <c r="K11" s="16">
        <v>80</v>
      </c>
      <c r="L11" s="16" t="s">
        <v>214</v>
      </c>
      <c r="M11" s="17">
        <v>39837.7577662037</v>
      </c>
    </row>
    <row r="12" spans="1:13" x14ac:dyDescent="0.25">
      <c r="A12" s="16">
        <v>883</v>
      </c>
      <c r="B12" s="16">
        <v>1</v>
      </c>
      <c r="C12" s="16" t="s">
        <v>223</v>
      </c>
      <c r="D12" s="16" t="s">
        <v>72</v>
      </c>
      <c r="E12" s="16" t="s">
        <v>211</v>
      </c>
      <c r="F12" s="16" t="s">
        <v>212</v>
      </c>
      <c r="G12" s="16">
        <v>65495894</v>
      </c>
      <c r="H12" s="16"/>
      <c r="I12" s="16" t="s">
        <v>29</v>
      </c>
      <c r="J12" s="16" t="s">
        <v>213</v>
      </c>
      <c r="K12" s="16">
        <v>70</v>
      </c>
      <c r="L12" s="16" t="s">
        <v>214</v>
      </c>
      <c r="M12" s="17">
        <v>39837.749247685184</v>
      </c>
    </row>
    <row r="13" spans="1:13" x14ac:dyDescent="0.25">
      <c r="A13" s="16">
        <v>881</v>
      </c>
      <c r="B13" s="16">
        <v>1</v>
      </c>
      <c r="C13" s="16" t="s">
        <v>215</v>
      </c>
      <c r="D13" s="16" t="s">
        <v>21</v>
      </c>
      <c r="E13" s="16" t="s">
        <v>211</v>
      </c>
      <c r="F13" s="16" t="s">
        <v>212</v>
      </c>
      <c r="G13" s="16">
        <v>65495623</v>
      </c>
      <c r="H13" s="16"/>
      <c r="I13" s="16" t="s">
        <v>29</v>
      </c>
      <c r="J13" s="16" t="s">
        <v>213</v>
      </c>
      <c r="K13" s="16">
        <v>40</v>
      </c>
      <c r="L13" s="16" t="s">
        <v>214</v>
      </c>
      <c r="M13" s="17">
        <v>39837.669456018521</v>
      </c>
    </row>
    <row r="14" spans="1:13" x14ac:dyDescent="0.25">
      <c r="A14" s="16">
        <v>877</v>
      </c>
      <c r="B14" s="16">
        <v>3</v>
      </c>
      <c r="C14" s="16" t="s">
        <v>224</v>
      </c>
      <c r="D14" s="16" t="s">
        <v>136</v>
      </c>
      <c r="E14" s="16" t="s">
        <v>225</v>
      </c>
      <c r="F14" s="16" t="s">
        <v>212</v>
      </c>
      <c r="G14" s="16" t="s">
        <v>226</v>
      </c>
      <c r="H14" s="16"/>
      <c r="I14" s="16" t="s">
        <v>128</v>
      </c>
      <c r="J14" s="16" t="s">
        <v>213</v>
      </c>
      <c r="K14" s="16">
        <v>52</v>
      </c>
      <c r="L14" s="16" t="s">
        <v>214</v>
      </c>
      <c r="M14" s="17">
        <v>39837.276909722219</v>
      </c>
    </row>
    <row r="15" spans="1:13" x14ac:dyDescent="0.25">
      <c r="A15" s="16">
        <v>873</v>
      </c>
      <c r="B15" s="16">
        <v>3</v>
      </c>
      <c r="C15" s="16" t="s">
        <v>222</v>
      </c>
      <c r="D15" s="16" t="s">
        <v>66</v>
      </c>
      <c r="E15" s="16" t="s">
        <v>211</v>
      </c>
      <c r="F15" s="16" t="s">
        <v>212</v>
      </c>
      <c r="G15" s="16">
        <v>65493829</v>
      </c>
      <c r="H15" s="16"/>
      <c r="I15" s="16" t="s">
        <v>29</v>
      </c>
      <c r="J15" s="16" t="s">
        <v>213</v>
      </c>
      <c r="K15" s="16">
        <v>100</v>
      </c>
      <c r="L15" s="16" t="s">
        <v>214</v>
      </c>
      <c r="M15" s="17">
        <v>39836.792314814818</v>
      </c>
    </row>
    <row r="16" spans="1:13" x14ac:dyDescent="0.25">
      <c r="A16" s="16">
        <v>865</v>
      </c>
      <c r="B16" s="16">
        <v>2</v>
      </c>
      <c r="C16" s="16" t="s">
        <v>216</v>
      </c>
      <c r="D16" s="16" t="s">
        <v>33</v>
      </c>
      <c r="E16" s="16" t="s">
        <v>211</v>
      </c>
      <c r="F16" s="16" t="s">
        <v>212</v>
      </c>
      <c r="G16" s="16">
        <v>65493409</v>
      </c>
      <c r="H16" s="16"/>
      <c r="I16" s="16" t="s">
        <v>29</v>
      </c>
      <c r="J16" s="16" t="s">
        <v>213</v>
      </c>
      <c r="K16" s="16">
        <v>50</v>
      </c>
      <c r="L16" s="16" t="s">
        <v>214</v>
      </c>
      <c r="M16" s="17">
        <v>39836.684872685182</v>
      </c>
    </row>
    <row r="17" spans="1:13" x14ac:dyDescent="0.25">
      <c r="A17" s="16">
        <v>863</v>
      </c>
      <c r="B17" s="16">
        <v>3</v>
      </c>
      <c r="C17" s="16" t="s">
        <v>222</v>
      </c>
      <c r="D17" s="16" t="s">
        <v>66</v>
      </c>
      <c r="E17" s="16" t="s">
        <v>211</v>
      </c>
      <c r="F17" s="16" t="s">
        <v>212</v>
      </c>
      <c r="G17" s="16">
        <v>65493144</v>
      </c>
      <c r="H17" s="16"/>
      <c r="I17" s="16" t="s">
        <v>29</v>
      </c>
      <c r="J17" s="16" t="s">
        <v>213</v>
      </c>
      <c r="K17" s="16">
        <v>100</v>
      </c>
      <c r="L17" s="16" t="s">
        <v>214</v>
      </c>
      <c r="M17" s="17">
        <v>39836.570277777777</v>
      </c>
    </row>
    <row r="18" spans="1:13" x14ac:dyDescent="0.25">
      <c r="A18" s="16">
        <v>861</v>
      </c>
      <c r="B18" s="16">
        <v>1</v>
      </c>
      <c r="C18" s="16" t="s">
        <v>227</v>
      </c>
      <c r="D18" s="16" t="s">
        <v>85</v>
      </c>
      <c r="E18" s="16" t="s">
        <v>211</v>
      </c>
      <c r="F18" s="16" t="s">
        <v>212</v>
      </c>
      <c r="G18" s="16">
        <v>65492983</v>
      </c>
      <c r="H18" s="16"/>
      <c r="I18" s="16" t="s">
        <v>29</v>
      </c>
      <c r="J18" s="16" t="s">
        <v>213</v>
      </c>
      <c r="K18" s="16">
        <v>50</v>
      </c>
      <c r="L18" s="16" t="s">
        <v>214</v>
      </c>
      <c r="M18" s="17">
        <v>39836.488692129627</v>
      </c>
    </row>
    <row r="19" spans="1:13" x14ac:dyDescent="0.25">
      <c r="A19" s="16">
        <v>859</v>
      </c>
      <c r="B19" s="16">
        <v>1</v>
      </c>
      <c r="C19" s="16" t="s">
        <v>228</v>
      </c>
      <c r="D19" s="16" t="s">
        <v>92</v>
      </c>
      <c r="E19" s="16" t="s">
        <v>211</v>
      </c>
      <c r="F19" s="16" t="s">
        <v>212</v>
      </c>
      <c r="G19" s="16">
        <v>65492159</v>
      </c>
      <c r="H19" s="16"/>
      <c r="I19" s="16" t="s">
        <v>29</v>
      </c>
      <c r="J19" s="16" t="s">
        <v>213</v>
      </c>
      <c r="K19" s="16">
        <v>250</v>
      </c>
      <c r="L19" s="16" t="s">
        <v>214</v>
      </c>
      <c r="M19" s="17">
        <v>39835.868831018517</v>
      </c>
    </row>
    <row r="20" spans="1:13" x14ac:dyDescent="0.25">
      <c r="A20" s="16">
        <v>857</v>
      </c>
      <c r="B20" s="16">
        <v>1</v>
      </c>
      <c r="C20" s="16" t="s">
        <v>229</v>
      </c>
      <c r="D20" s="16" t="s">
        <v>98</v>
      </c>
      <c r="E20" s="16" t="s">
        <v>211</v>
      </c>
      <c r="F20" s="16" t="s">
        <v>212</v>
      </c>
      <c r="G20" s="16">
        <v>65491894</v>
      </c>
      <c r="H20" s="16"/>
      <c r="I20" s="16" t="s">
        <v>29</v>
      </c>
      <c r="J20" s="16" t="s">
        <v>213</v>
      </c>
      <c r="K20" s="16">
        <v>250</v>
      </c>
      <c r="L20" s="16" t="s">
        <v>214</v>
      </c>
      <c r="M20" s="17">
        <v>39835.795254629629</v>
      </c>
    </row>
    <row r="21" spans="1:13" x14ac:dyDescent="0.25">
      <c r="A21" s="16">
        <v>853</v>
      </c>
      <c r="B21" s="16">
        <v>3</v>
      </c>
      <c r="C21" s="16" t="s">
        <v>222</v>
      </c>
      <c r="D21" s="16" t="s">
        <v>66</v>
      </c>
      <c r="E21" s="16" t="s">
        <v>211</v>
      </c>
      <c r="F21" s="16" t="s">
        <v>212</v>
      </c>
      <c r="G21" s="16">
        <v>65491811</v>
      </c>
      <c r="H21" s="16"/>
      <c r="I21" s="16" t="s">
        <v>29</v>
      </c>
      <c r="J21" s="16" t="s">
        <v>213</v>
      </c>
      <c r="K21" s="16">
        <v>50</v>
      </c>
      <c r="L21" s="16" t="s">
        <v>214</v>
      </c>
      <c r="M21" s="17">
        <v>39835.775810185187</v>
      </c>
    </row>
    <row r="22" spans="1:13" x14ac:dyDescent="0.25">
      <c r="A22" s="16">
        <v>850</v>
      </c>
      <c r="B22" s="16">
        <v>2</v>
      </c>
      <c r="C22" s="16" t="s">
        <v>216</v>
      </c>
      <c r="D22" s="16" t="s">
        <v>33</v>
      </c>
      <c r="E22" s="16" t="s">
        <v>211</v>
      </c>
      <c r="F22" s="16" t="s">
        <v>212</v>
      </c>
      <c r="G22" s="16">
        <v>65491654</v>
      </c>
      <c r="H22" s="16"/>
      <c r="I22" s="16" t="s">
        <v>29</v>
      </c>
      <c r="J22" s="16" t="s">
        <v>213</v>
      </c>
      <c r="K22" s="16">
        <v>50</v>
      </c>
      <c r="L22" s="16" t="s">
        <v>214</v>
      </c>
      <c r="M22" s="17">
        <v>39835.727534722224</v>
      </c>
    </row>
    <row r="23" spans="1:13" x14ac:dyDescent="0.25">
      <c r="A23" s="16">
        <v>847</v>
      </c>
      <c r="B23" s="16">
        <v>2</v>
      </c>
      <c r="C23" s="16" t="s">
        <v>210</v>
      </c>
      <c r="D23" s="16" t="s">
        <v>108</v>
      </c>
      <c r="E23" s="16" t="s">
        <v>211</v>
      </c>
      <c r="F23" s="16" t="s">
        <v>212</v>
      </c>
      <c r="G23" s="16">
        <v>65491472</v>
      </c>
      <c r="H23" s="16"/>
      <c r="I23" s="16" t="s">
        <v>29</v>
      </c>
      <c r="J23" s="16" t="s">
        <v>213</v>
      </c>
      <c r="K23" s="16">
        <v>25</v>
      </c>
      <c r="L23" s="16" t="s">
        <v>214</v>
      </c>
      <c r="M23" s="17">
        <v>39835.640416666669</v>
      </c>
    </row>
    <row r="24" spans="1:13" x14ac:dyDescent="0.25">
      <c r="A24" s="16">
        <v>845</v>
      </c>
      <c r="B24" s="16">
        <v>2</v>
      </c>
      <c r="C24" s="16" t="s">
        <v>210</v>
      </c>
      <c r="D24" s="16" t="s">
        <v>108</v>
      </c>
      <c r="E24" s="16" t="s">
        <v>211</v>
      </c>
      <c r="F24" s="16" t="s">
        <v>212</v>
      </c>
      <c r="G24" s="16">
        <v>65491409</v>
      </c>
      <c r="H24" s="16"/>
      <c r="I24" s="16" t="s">
        <v>29</v>
      </c>
      <c r="J24" s="16" t="s">
        <v>213</v>
      </c>
      <c r="K24" s="16">
        <v>20</v>
      </c>
      <c r="L24" s="16" t="s">
        <v>214</v>
      </c>
      <c r="M24" s="17">
        <v>39835.611574074072</v>
      </c>
    </row>
    <row r="25" spans="1:13" x14ac:dyDescent="0.25">
      <c r="A25" s="16">
        <v>840</v>
      </c>
      <c r="B25" s="16">
        <v>1</v>
      </c>
      <c r="C25" s="16" t="s">
        <v>230</v>
      </c>
      <c r="D25" s="16" t="s">
        <v>115</v>
      </c>
      <c r="E25" s="16" t="s">
        <v>211</v>
      </c>
      <c r="F25" s="16" t="s">
        <v>212</v>
      </c>
      <c r="G25" s="16">
        <v>65490453</v>
      </c>
      <c r="H25" s="16"/>
      <c r="I25" s="16" t="s">
        <v>29</v>
      </c>
      <c r="J25" s="16" t="s">
        <v>213</v>
      </c>
      <c r="K25" s="16">
        <v>60</v>
      </c>
      <c r="L25" s="16" t="s">
        <v>214</v>
      </c>
      <c r="M25" s="17">
        <v>39834.918009259258</v>
      </c>
    </row>
    <row r="26" spans="1:13" x14ac:dyDescent="0.25">
      <c r="A26" s="16">
        <v>838</v>
      </c>
      <c r="B26" s="16">
        <v>3</v>
      </c>
      <c r="C26" s="16" t="s">
        <v>224</v>
      </c>
      <c r="D26" s="16" t="s">
        <v>136</v>
      </c>
      <c r="E26" s="16" t="s">
        <v>220</v>
      </c>
      <c r="F26" s="16" t="s">
        <v>212</v>
      </c>
      <c r="G26" s="16" t="s">
        <v>181</v>
      </c>
      <c r="H26" s="16"/>
      <c r="I26" s="16" t="s">
        <v>128</v>
      </c>
      <c r="J26" s="16" t="s">
        <v>213</v>
      </c>
      <c r="K26" s="16">
        <v>50</v>
      </c>
      <c r="L26" s="16" t="s">
        <v>214</v>
      </c>
      <c r="M26" s="17">
        <v>39834.789467592593</v>
      </c>
    </row>
    <row r="27" spans="1:13" x14ac:dyDescent="0.25">
      <c r="A27" s="16">
        <v>834</v>
      </c>
      <c r="B27" s="16">
        <v>2</v>
      </c>
      <c r="C27" s="16" t="s">
        <v>216</v>
      </c>
      <c r="D27" s="16" t="s">
        <v>33</v>
      </c>
      <c r="E27" s="16" t="s">
        <v>220</v>
      </c>
      <c r="F27" s="16" t="s">
        <v>212</v>
      </c>
      <c r="G27" s="16" t="s">
        <v>190</v>
      </c>
      <c r="H27" s="16"/>
      <c r="I27" s="16" t="s">
        <v>128</v>
      </c>
      <c r="J27" s="16" t="s">
        <v>213</v>
      </c>
      <c r="K27" s="16">
        <v>50</v>
      </c>
      <c r="L27" s="16" t="s">
        <v>214</v>
      </c>
      <c r="M27" s="17">
        <v>39834.707858796297</v>
      </c>
    </row>
    <row r="28" spans="1:13" x14ac:dyDescent="0.25">
      <c r="A28" s="16">
        <v>833</v>
      </c>
      <c r="B28" s="16">
        <v>1</v>
      </c>
      <c r="C28" s="16" t="s">
        <v>231</v>
      </c>
      <c r="D28" s="16" t="s">
        <v>121</v>
      </c>
      <c r="E28" s="16" t="s">
        <v>211</v>
      </c>
      <c r="F28" s="16" t="s">
        <v>212</v>
      </c>
      <c r="G28" s="16">
        <v>65489773</v>
      </c>
      <c r="H28" s="16"/>
      <c r="I28" s="16" t="s">
        <v>29</v>
      </c>
      <c r="J28" s="16" t="s">
        <v>213</v>
      </c>
      <c r="K28" s="16">
        <v>50</v>
      </c>
      <c r="L28" s="16" t="s">
        <v>214</v>
      </c>
      <c r="M28" s="17">
        <v>39834.695081018515</v>
      </c>
    </row>
    <row r="29" spans="1:13" x14ac:dyDescent="0.25">
      <c r="A29" s="16">
        <v>827</v>
      </c>
      <c r="B29" s="16">
        <v>1</v>
      </c>
      <c r="C29" s="16" t="s">
        <v>231</v>
      </c>
      <c r="D29" s="16" t="s">
        <v>121</v>
      </c>
      <c r="E29" s="16" t="s">
        <v>211</v>
      </c>
      <c r="F29" s="16" t="s">
        <v>212</v>
      </c>
      <c r="G29" s="16">
        <v>65488980</v>
      </c>
      <c r="H29" s="16"/>
      <c r="I29" s="16" t="s">
        <v>29</v>
      </c>
      <c r="J29" s="16" t="s">
        <v>213</v>
      </c>
      <c r="K29" s="16">
        <v>200</v>
      </c>
      <c r="L29" s="16" t="s">
        <v>214</v>
      </c>
      <c r="M29" s="17">
        <v>39834.002476851849</v>
      </c>
    </row>
    <row r="30" spans="1:13" x14ac:dyDescent="0.25">
      <c r="A30" s="16">
        <v>823</v>
      </c>
      <c r="B30" s="16">
        <v>3</v>
      </c>
      <c r="C30" s="16" t="s">
        <v>222</v>
      </c>
      <c r="D30" s="16" t="s">
        <v>66</v>
      </c>
      <c r="E30" s="16" t="s">
        <v>211</v>
      </c>
      <c r="F30" s="16" t="s">
        <v>212</v>
      </c>
      <c r="G30" s="16">
        <v>65488034</v>
      </c>
      <c r="H30" s="16"/>
      <c r="I30" s="16" t="s">
        <v>29</v>
      </c>
      <c r="J30" s="16" t="s">
        <v>213</v>
      </c>
      <c r="K30" s="16">
        <v>50</v>
      </c>
      <c r="L30" s="16" t="s">
        <v>214</v>
      </c>
      <c r="M30" s="17">
        <v>39833.682488425926</v>
      </c>
    </row>
    <row r="31" spans="1:13" x14ac:dyDescent="0.25">
      <c r="A31" s="16">
        <v>821</v>
      </c>
      <c r="B31" s="16">
        <v>2</v>
      </c>
      <c r="C31" s="16" t="s">
        <v>219</v>
      </c>
      <c r="D31" s="16" t="s">
        <v>179</v>
      </c>
      <c r="E31" s="16" t="s">
        <v>220</v>
      </c>
      <c r="F31" s="16" t="s">
        <v>212</v>
      </c>
      <c r="G31" s="16" t="s">
        <v>204</v>
      </c>
      <c r="H31" s="16"/>
      <c r="I31" s="16" t="s">
        <v>128</v>
      </c>
      <c r="J31" s="16" t="s">
        <v>213</v>
      </c>
      <c r="K31" s="16">
        <v>100</v>
      </c>
      <c r="L31" s="16" t="s">
        <v>214</v>
      </c>
      <c r="M31" s="17">
        <v>39833.595868055556</v>
      </c>
    </row>
    <row r="32" spans="1:13" x14ac:dyDescent="0.25">
      <c r="A32" s="16">
        <v>820</v>
      </c>
      <c r="B32" s="16">
        <v>3</v>
      </c>
      <c r="C32" s="16" t="s">
        <v>222</v>
      </c>
      <c r="D32" s="16" t="s">
        <v>66</v>
      </c>
      <c r="E32" s="16" t="s">
        <v>211</v>
      </c>
      <c r="F32" s="16" t="s">
        <v>212</v>
      </c>
      <c r="G32" s="16">
        <v>65487766</v>
      </c>
      <c r="H32" s="16"/>
      <c r="I32" s="16" t="s">
        <v>29</v>
      </c>
      <c r="J32" s="16" t="s">
        <v>213</v>
      </c>
      <c r="K32" s="16">
        <v>60</v>
      </c>
      <c r="L32" s="16" t="s">
        <v>214</v>
      </c>
      <c r="M32" s="17">
        <v>39833.578946759262</v>
      </c>
    </row>
    <row r="33" spans="9:9" x14ac:dyDescent="0.25">
      <c r="I3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K1" sqref="K1:K27"/>
    </sheetView>
  </sheetViews>
  <sheetFormatPr defaultRowHeight="15" x14ac:dyDescent="0.25"/>
  <sheetData>
    <row r="1" spans="1:14" x14ac:dyDescent="0.25">
      <c r="A1" s="3" t="s">
        <v>222</v>
      </c>
      <c r="B1" s="1">
        <v>41295.578935185185</v>
      </c>
      <c r="C1" s="1">
        <v>41295.578935185185</v>
      </c>
      <c r="D1" s="3" t="s">
        <v>232</v>
      </c>
      <c r="E1" s="11"/>
      <c r="F1" s="3" t="s">
        <v>233</v>
      </c>
      <c r="G1" s="3" t="s">
        <v>234</v>
      </c>
      <c r="H1" s="11"/>
      <c r="I1" s="11"/>
      <c r="J1" s="11"/>
      <c r="K1" s="7">
        <v>60</v>
      </c>
      <c r="L1" s="7">
        <v>0</v>
      </c>
      <c r="M1" s="7">
        <v>0</v>
      </c>
      <c r="N1" s="7">
        <v>60</v>
      </c>
    </row>
    <row r="2" spans="1:14" x14ac:dyDescent="0.25">
      <c r="A2" s="3" t="s">
        <v>222</v>
      </c>
      <c r="B2" s="1">
        <v>41295.682476851849</v>
      </c>
      <c r="C2" s="1">
        <v>41295.682476851849</v>
      </c>
      <c r="D2" s="3" t="s">
        <v>232</v>
      </c>
      <c r="E2" s="11"/>
      <c r="F2" s="3" t="s">
        <v>235</v>
      </c>
      <c r="G2" s="3" t="s">
        <v>236</v>
      </c>
      <c r="H2" s="11"/>
      <c r="I2" s="11"/>
      <c r="J2" s="11"/>
      <c r="K2" s="7">
        <v>50</v>
      </c>
      <c r="L2" s="7">
        <v>0</v>
      </c>
      <c r="M2" s="7">
        <v>0</v>
      </c>
      <c r="N2" s="7">
        <v>50</v>
      </c>
    </row>
    <row r="3" spans="1:14" x14ac:dyDescent="0.25">
      <c r="A3" s="3" t="s">
        <v>231</v>
      </c>
      <c r="B3" s="1">
        <v>41296.002476851849</v>
      </c>
      <c r="C3" s="1">
        <v>41296.002476851849</v>
      </c>
      <c r="D3" s="3" t="s">
        <v>232</v>
      </c>
      <c r="E3" s="11"/>
      <c r="F3" s="3" t="s">
        <v>237</v>
      </c>
      <c r="G3" s="3" t="s">
        <v>238</v>
      </c>
      <c r="H3" s="11"/>
      <c r="I3" s="11"/>
      <c r="J3" s="11"/>
      <c r="K3" s="7">
        <v>200</v>
      </c>
      <c r="L3" s="7">
        <v>0</v>
      </c>
      <c r="M3" s="7">
        <v>0</v>
      </c>
      <c r="N3" s="7">
        <v>200</v>
      </c>
    </row>
    <row r="4" spans="1:14" x14ac:dyDescent="0.25">
      <c r="A4" s="3" t="s">
        <v>231</v>
      </c>
      <c r="B4" s="1">
        <v>41296.695081018515</v>
      </c>
      <c r="C4" s="1">
        <v>41296.695081018515</v>
      </c>
      <c r="D4" s="3" t="s">
        <v>232</v>
      </c>
      <c r="E4" s="11"/>
      <c r="F4" s="3" t="s">
        <v>239</v>
      </c>
      <c r="G4" s="3" t="s">
        <v>240</v>
      </c>
      <c r="H4" s="11"/>
      <c r="I4" s="11"/>
      <c r="J4" s="11"/>
      <c r="K4" s="7">
        <v>50</v>
      </c>
      <c r="L4" s="7">
        <v>0</v>
      </c>
      <c r="M4" s="7">
        <v>0</v>
      </c>
      <c r="N4" s="7">
        <v>50</v>
      </c>
    </row>
    <row r="5" spans="1:14" x14ac:dyDescent="0.25">
      <c r="A5" s="3" t="s">
        <v>230</v>
      </c>
      <c r="B5" s="1">
        <v>41296.917997685188</v>
      </c>
      <c r="C5" s="1">
        <v>41296.917997685188</v>
      </c>
      <c r="D5" s="3" t="s">
        <v>232</v>
      </c>
      <c r="E5" s="11"/>
      <c r="F5" s="3" t="s">
        <v>241</v>
      </c>
      <c r="G5" s="3" t="s">
        <v>242</v>
      </c>
      <c r="H5" s="11"/>
      <c r="I5" s="11"/>
      <c r="J5" s="11"/>
      <c r="K5" s="7">
        <v>60</v>
      </c>
      <c r="L5" s="7">
        <v>0</v>
      </c>
      <c r="M5" s="7">
        <v>0</v>
      </c>
      <c r="N5" s="7">
        <v>60</v>
      </c>
    </row>
    <row r="6" spans="1:14" x14ac:dyDescent="0.25">
      <c r="A6" s="3" t="s">
        <v>210</v>
      </c>
      <c r="B6" s="1">
        <v>41297.611574074072</v>
      </c>
      <c r="C6" s="1">
        <v>41297.611574074072</v>
      </c>
      <c r="D6" s="3" t="s">
        <v>232</v>
      </c>
      <c r="E6" s="11"/>
      <c r="F6" s="3" t="s">
        <v>243</v>
      </c>
      <c r="G6" s="3" t="s">
        <v>244</v>
      </c>
      <c r="H6" s="11"/>
      <c r="I6" s="11"/>
      <c r="J6" s="11"/>
      <c r="K6" s="7">
        <v>20</v>
      </c>
      <c r="L6" s="7">
        <v>0</v>
      </c>
      <c r="M6" s="7">
        <v>0</v>
      </c>
      <c r="N6" s="7">
        <v>20</v>
      </c>
    </row>
    <row r="7" spans="1:14" x14ac:dyDescent="0.25">
      <c r="A7" s="3" t="s">
        <v>210</v>
      </c>
      <c r="B7" s="1">
        <v>41297.640416666669</v>
      </c>
      <c r="C7" s="1">
        <v>41297.640416666669</v>
      </c>
      <c r="D7" s="3" t="s">
        <v>232</v>
      </c>
      <c r="E7" s="11"/>
      <c r="F7" s="3" t="s">
        <v>245</v>
      </c>
      <c r="G7" s="3" t="s">
        <v>246</v>
      </c>
      <c r="H7" s="11"/>
      <c r="I7" s="11"/>
      <c r="J7" s="11"/>
      <c r="K7" s="7">
        <v>25</v>
      </c>
      <c r="L7" s="7">
        <v>0</v>
      </c>
      <c r="M7" s="7">
        <v>0</v>
      </c>
      <c r="N7" s="7">
        <v>25</v>
      </c>
    </row>
    <row r="8" spans="1:14" x14ac:dyDescent="0.25">
      <c r="A8" s="3" t="s">
        <v>216</v>
      </c>
      <c r="B8" s="1">
        <v>41297.727523148147</v>
      </c>
      <c r="C8" s="1">
        <v>41297.727523148147</v>
      </c>
      <c r="D8" s="3" t="s">
        <v>232</v>
      </c>
      <c r="E8" s="11"/>
      <c r="F8" s="3" t="s">
        <v>247</v>
      </c>
      <c r="G8" s="3" t="s">
        <v>248</v>
      </c>
      <c r="H8" s="11"/>
      <c r="I8" s="11"/>
      <c r="J8" s="11"/>
      <c r="K8" s="7">
        <v>50</v>
      </c>
      <c r="L8" s="7">
        <v>0</v>
      </c>
      <c r="M8" s="7">
        <v>0</v>
      </c>
      <c r="N8" s="7">
        <v>50</v>
      </c>
    </row>
    <row r="9" spans="1:14" x14ac:dyDescent="0.25">
      <c r="A9" s="3" t="s">
        <v>222</v>
      </c>
      <c r="B9" s="1">
        <v>41297.775810185187</v>
      </c>
      <c r="C9" s="1">
        <v>41297.775810185187</v>
      </c>
      <c r="D9" s="3" t="s">
        <v>232</v>
      </c>
      <c r="E9" s="11"/>
      <c r="F9" s="3" t="s">
        <v>249</v>
      </c>
      <c r="G9" s="3" t="s">
        <v>250</v>
      </c>
      <c r="H9" s="11"/>
      <c r="I9" s="11"/>
      <c r="J9" s="11"/>
      <c r="K9" s="7">
        <v>50</v>
      </c>
      <c r="L9" s="7">
        <v>0</v>
      </c>
      <c r="M9" s="7">
        <v>0</v>
      </c>
      <c r="N9" s="7">
        <v>50</v>
      </c>
    </row>
    <row r="10" spans="1:14" x14ac:dyDescent="0.25">
      <c r="A10" s="3" t="s">
        <v>229</v>
      </c>
      <c r="B10" s="1">
        <v>41297.795254629629</v>
      </c>
      <c r="C10" s="1">
        <v>41297.795254629629</v>
      </c>
      <c r="D10" s="3" t="s">
        <v>232</v>
      </c>
      <c r="E10" s="11"/>
      <c r="F10" s="3" t="s">
        <v>251</v>
      </c>
      <c r="G10" s="3" t="s">
        <v>252</v>
      </c>
      <c r="H10" s="11"/>
      <c r="I10" s="11"/>
      <c r="J10" s="11"/>
      <c r="K10" s="7">
        <v>250</v>
      </c>
      <c r="L10" s="7">
        <v>0</v>
      </c>
      <c r="M10" s="7">
        <v>0</v>
      </c>
      <c r="N10" s="7">
        <v>250</v>
      </c>
    </row>
    <row r="11" spans="1:14" x14ac:dyDescent="0.25">
      <c r="A11" s="3" t="s">
        <v>228</v>
      </c>
      <c r="B11" s="1">
        <v>41297.868831018517</v>
      </c>
      <c r="C11" s="1">
        <v>41297.868831018517</v>
      </c>
      <c r="D11" s="3" t="s">
        <v>232</v>
      </c>
      <c r="E11" s="11"/>
      <c r="F11" s="3" t="s">
        <v>253</v>
      </c>
      <c r="G11" s="3" t="s">
        <v>254</v>
      </c>
      <c r="H11" s="11"/>
      <c r="I11" s="11"/>
      <c r="J11" s="11"/>
      <c r="K11" s="7">
        <v>250</v>
      </c>
      <c r="L11" s="7">
        <v>0</v>
      </c>
      <c r="M11" s="7">
        <v>0</v>
      </c>
      <c r="N11" s="7">
        <v>250</v>
      </c>
    </row>
    <row r="12" spans="1:14" x14ac:dyDescent="0.25">
      <c r="A12" s="3" t="s">
        <v>227</v>
      </c>
      <c r="B12" s="1">
        <v>41298.488692129627</v>
      </c>
      <c r="C12" s="1">
        <v>41298.488692129627</v>
      </c>
      <c r="D12" s="3" t="s">
        <v>232</v>
      </c>
      <c r="E12" s="11"/>
      <c r="F12" s="3" t="s">
        <v>255</v>
      </c>
      <c r="G12" s="3" t="s">
        <v>256</v>
      </c>
      <c r="H12" s="11"/>
      <c r="I12" s="11"/>
      <c r="J12" s="11"/>
      <c r="K12" s="7">
        <v>50</v>
      </c>
      <c r="L12" s="7">
        <v>0</v>
      </c>
      <c r="M12" s="7">
        <v>0</v>
      </c>
      <c r="N12" s="7">
        <v>50</v>
      </c>
    </row>
    <row r="13" spans="1:14" x14ac:dyDescent="0.25">
      <c r="A13" s="3" t="s">
        <v>222</v>
      </c>
      <c r="B13" s="1">
        <v>41298.570277777777</v>
      </c>
      <c r="C13" s="1">
        <v>41298.570277777777</v>
      </c>
      <c r="D13" s="3" t="s">
        <v>232</v>
      </c>
      <c r="E13" s="11"/>
      <c r="F13" s="3" t="s">
        <v>257</v>
      </c>
      <c r="G13" s="3" t="s">
        <v>258</v>
      </c>
      <c r="H13" s="11"/>
      <c r="I13" s="11"/>
      <c r="J13" s="11"/>
      <c r="K13" s="7">
        <v>100</v>
      </c>
      <c r="L13" s="7">
        <v>0</v>
      </c>
      <c r="M13" s="7">
        <v>0</v>
      </c>
      <c r="N13" s="7">
        <v>100</v>
      </c>
    </row>
    <row r="14" spans="1:14" x14ac:dyDescent="0.25">
      <c r="A14" s="3" t="s">
        <v>216</v>
      </c>
      <c r="B14" s="1">
        <v>41298.684872685182</v>
      </c>
      <c r="C14" s="1">
        <v>41298.684872685182</v>
      </c>
      <c r="D14" s="3" t="s">
        <v>232</v>
      </c>
      <c r="E14" s="11"/>
      <c r="F14" s="3" t="s">
        <v>259</v>
      </c>
      <c r="G14" s="3" t="s">
        <v>260</v>
      </c>
      <c r="H14" s="11"/>
      <c r="I14" s="11"/>
      <c r="J14" s="11"/>
      <c r="K14" s="7">
        <v>50</v>
      </c>
      <c r="L14" s="7">
        <v>0</v>
      </c>
      <c r="M14" s="7">
        <v>0</v>
      </c>
      <c r="N14" s="7">
        <v>50</v>
      </c>
    </row>
    <row r="15" spans="1:14" x14ac:dyDescent="0.25">
      <c r="A15" s="3" t="s">
        <v>222</v>
      </c>
      <c r="B15" s="1">
        <v>41298.792314814818</v>
      </c>
      <c r="C15" s="1">
        <v>41298.792314814818</v>
      </c>
      <c r="D15" s="3" t="s">
        <v>232</v>
      </c>
      <c r="E15" s="11"/>
      <c r="F15" s="3" t="s">
        <v>261</v>
      </c>
      <c r="G15" s="3" t="s">
        <v>262</v>
      </c>
      <c r="H15" s="11"/>
      <c r="I15" s="11"/>
      <c r="J15" s="11"/>
      <c r="K15" s="7">
        <v>100</v>
      </c>
      <c r="L15" s="7">
        <v>0</v>
      </c>
      <c r="M15" s="7">
        <v>0</v>
      </c>
      <c r="N15" s="7">
        <v>100</v>
      </c>
    </row>
    <row r="16" spans="1:14" x14ac:dyDescent="0.25">
      <c r="A16" s="3" t="s">
        <v>215</v>
      </c>
      <c r="B16" s="1">
        <v>41299.669444444444</v>
      </c>
      <c r="C16" s="1">
        <v>41299.669444444444</v>
      </c>
      <c r="D16" s="3" t="s">
        <v>232</v>
      </c>
      <c r="E16" s="11"/>
      <c r="F16" s="3" t="s">
        <v>263</v>
      </c>
      <c r="G16" s="3" t="s">
        <v>264</v>
      </c>
      <c r="H16" s="11"/>
      <c r="I16" s="11"/>
      <c r="J16" s="11"/>
      <c r="K16" s="7">
        <v>40</v>
      </c>
      <c r="L16" s="7">
        <v>0</v>
      </c>
      <c r="M16" s="7">
        <v>0</v>
      </c>
      <c r="N16" s="7">
        <v>40</v>
      </c>
    </row>
    <row r="17" spans="1:14" x14ac:dyDescent="0.25">
      <c r="A17" s="3" t="s">
        <v>223</v>
      </c>
      <c r="B17" s="1">
        <v>41299.749247685184</v>
      </c>
      <c r="C17" s="1">
        <v>41299.749247685184</v>
      </c>
      <c r="D17" s="3" t="s">
        <v>232</v>
      </c>
      <c r="E17" s="11"/>
      <c r="F17" s="3" t="s">
        <v>265</v>
      </c>
      <c r="G17" s="3" t="s">
        <v>266</v>
      </c>
      <c r="H17" s="11"/>
      <c r="I17" s="11"/>
      <c r="J17" s="11"/>
      <c r="K17" s="7">
        <v>70</v>
      </c>
      <c r="L17" s="7">
        <v>0</v>
      </c>
      <c r="M17" s="7">
        <v>0</v>
      </c>
      <c r="N17" s="7">
        <v>70</v>
      </c>
    </row>
    <row r="18" spans="1:14" x14ac:dyDescent="0.25">
      <c r="A18" s="3" t="s">
        <v>222</v>
      </c>
      <c r="B18" s="1">
        <v>41299.7577662037</v>
      </c>
      <c r="C18" s="1">
        <v>41299.7577662037</v>
      </c>
      <c r="D18" s="3" t="s">
        <v>232</v>
      </c>
      <c r="E18" s="11"/>
      <c r="F18" s="3" t="s">
        <v>267</v>
      </c>
      <c r="G18" s="3" t="s">
        <v>268</v>
      </c>
      <c r="H18" s="11"/>
      <c r="I18" s="11"/>
      <c r="J18" s="11"/>
      <c r="K18" s="7">
        <v>80</v>
      </c>
      <c r="L18" s="7">
        <v>0</v>
      </c>
      <c r="M18" s="7">
        <v>0</v>
      </c>
      <c r="N18" s="7">
        <v>80</v>
      </c>
    </row>
    <row r="19" spans="1:14" x14ac:dyDescent="0.25">
      <c r="A19" s="3" t="s">
        <v>221</v>
      </c>
      <c r="B19" s="1">
        <v>41299.766932870371</v>
      </c>
      <c r="C19" s="1">
        <v>41299.766932870371</v>
      </c>
      <c r="D19" s="3" t="s">
        <v>232</v>
      </c>
      <c r="E19" s="11"/>
      <c r="F19" s="3" t="s">
        <v>269</v>
      </c>
      <c r="G19" s="3" t="s">
        <v>270</v>
      </c>
      <c r="H19" s="11"/>
      <c r="I19" s="11"/>
      <c r="J19" s="11"/>
      <c r="K19" s="7">
        <v>250</v>
      </c>
      <c r="L19" s="7">
        <v>0</v>
      </c>
      <c r="M19" s="7">
        <v>0</v>
      </c>
      <c r="N19" s="7">
        <v>250</v>
      </c>
    </row>
    <row r="20" spans="1:14" x14ac:dyDescent="0.25">
      <c r="A20" s="3" t="s">
        <v>216</v>
      </c>
      <c r="B20" s="1">
        <v>41300.38113425926</v>
      </c>
      <c r="C20" s="1">
        <v>41300.38113425926</v>
      </c>
      <c r="D20" s="3" t="s">
        <v>232</v>
      </c>
      <c r="E20" s="11"/>
      <c r="F20" s="3" t="s">
        <v>271</v>
      </c>
      <c r="G20" s="3" t="s">
        <v>272</v>
      </c>
      <c r="H20" s="11"/>
      <c r="I20" s="11"/>
      <c r="J20" s="11"/>
      <c r="K20" s="7">
        <v>100</v>
      </c>
      <c r="L20" s="7">
        <v>0</v>
      </c>
      <c r="M20" s="7">
        <v>0</v>
      </c>
      <c r="N20" s="7">
        <v>100</v>
      </c>
    </row>
    <row r="21" spans="1:14" x14ac:dyDescent="0.25">
      <c r="A21" s="3" t="s">
        <v>218</v>
      </c>
      <c r="B21" s="1">
        <v>41300.486481481479</v>
      </c>
      <c r="C21" s="1">
        <v>41300.486481481479</v>
      </c>
      <c r="D21" s="3" t="s">
        <v>232</v>
      </c>
      <c r="E21" s="11"/>
      <c r="F21" s="3" t="s">
        <v>273</v>
      </c>
      <c r="G21" s="3" t="s">
        <v>274</v>
      </c>
      <c r="H21" s="11"/>
      <c r="I21" s="11"/>
      <c r="J21" s="11"/>
      <c r="K21" s="7">
        <v>50</v>
      </c>
      <c r="L21" s="7">
        <v>0</v>
      </c>
      <c r="M21" s="7">
        <v>0</v>
      </c>
      <c r="N21" s="7">
        <v>50</v>
      </c>
    </row>
    <row r="22" spans="1:14" x14ac:dyDescent="0.25">
      <c r="A22" s="3" t="s">
        <v>218</v>
      </c>
      <c r="B22" s="1">
        <v>41300.658252314817</v>
      </c>
      <c r="C22" s="1">
        <v>41300.658252314817</v>
      </c>
      <c r="D22" s="3" t="s">
        <v>232</v>
      </c>
      <c r="E22" s="11"/>
      <c r="F22" s="3" t="s">
        <v>275</v>
      </c>
      <c r="G22" s="3" t="s">
        <v>276</v>
      </c>
      <c r="H22" s="11"/>
      <c r="I22" s="11"/>
      <c r="J22" s="11"/>
      <c r="K22" s="7">
        <v>50</v>
      </c>
      <c r="L22" s="7">
        <v>0</v>
      </c>
      <c r="M22" s="7">
        <v>0</v>
      </c>
      <c r="N22" s="7">
        <v>50</v>
      </c>
    </row>
    <row r="23" spans="1:14" x14ac:dyDescent="0.25">
      <c r="A23" s="3" t="s">
        <v>216</v>
      </c>
      <c r="B23" s="1">
        <v>41300.822812500002</v>
      </c>
      <c r="C23" s="1">
        <v>41300.822812500002</v>
      </c>
      <c r="D23" s="3" t="s">
        <v>232</v>
      </c>
      <c r="E23" s="11"/>
      <c r="F23" s="3" t="s">
        <v>277</v>
      </c>
      <c r="G23" s="3" t="s">
        <v>278</v>
      </c>
      <c r="H23" s="11"/>
      <c r="I23" s="11"/>
      <c r="J23" s="11"/>
      <c r="K23" s="7">
        <v>100</v>
      </c>
      <c r="L23" s="7">
        <v>0</v>
      </c>
      <c r="M23" s="7">
        <v>0</v>
      </c>
      <c r="N23" s="7">
        <v>100</v>
      </c>
    </row>
    <row r="24" spans="1:14" x14ac:dyDescent="0.25">
      <c r="A24" s="3" t="s">
        <v>217</v>
      </c>
      <c r="B24" s="1">
        <v>41300.824155092596</v>
      </c>
      <c r="C24" s="1">
        <v>41300.824155092596</v>
      </c>
      <c r="D24" s="3" t="s">
        <v>232</v>
      </c>
      <c r="E24" s="11"/>
      <c r="F24" s="3" t="s">
        <v>279</v>
      </c>
      <c r="G24" s="3" t="s">
        <v>280</v>
      </c>
      <c r="H24" s="11"/>
      <c r="I24" s="11"/>
      <c r="J24" s="11"/>
      <c r="K24" s="7">
        <v>120</v>
      </c>
      <c r="L24" s="7">
        <v>0</v>
      </c>
      <c r="M24" s="7">
        <v>0</v>
      </c>
      <c r="N24" s="7">
        <v>120</v>
      </c>
    </row>
    <row r="25" spans="1:14" x14ac:dyDescent="0.25">
      <c r="A25" s="3" t="s">
        <v>216</v>
      </c>
      <c r="B25" s="1">
        <v>41301.60297453704</v>
      </c>
      <c r="C25" s="1">
        <v>41301.60297453704</v>
      </c>
      <c r="D25" s="3" t="s">
        <v>232</v>
      </c>
      <c r="E25" s="11"/>
      <c r="F25" s="3" t="s">
        <v>281</v>
      </c>
      <c r="G25" s="3" t="s">
        <v>282</v>
      </c>
      <c r="H25" s="11"/>
      <c r="I25" s="11"/>
      <c r="J25" s="11"/>
      <c r="K25" s="7">
        <v>70</v>
      </c>
      <c r="L25" s="7">
        <v>0</v>
      </c>
      <c r="M25" s="7">
        <v>0</v>
      </c>
      <c r="N25" s="7">
        <v>70</v>
      </c>
    </row>
    <row r="26" spans="1:14" x14ac:dyDescent="0.25">
      <c r="A26" s="3" t="s">
        <v>215</v>
      </c>
      <c r="B26" s="1">
        <v>41301.790891203702</v>
      </c>
      <c r="C26" s="1">
        <v>41301.790891203702</v>
      </c>
      <c r="D26" s="3" t="s">
        <v>232</v>
      </c>
      <c r="E26" s="11"/>
      <c r="F26" s="3" t="s">
        <v>283</v>
      </c>
      <c r="G26" s="3" t="s">
        <v>284</v>
      </c>
      <c r="H26" s="11"/>
      <c r="I26" s="11"/>
      <c r="J26" s="11"/>
      <c r="K26" s="7">
        <v>20</v>
      </c>
      <c r="L26" s="7">
        <v>0</v>
      </c>
      <c r="M26" s="7">
        <v>0</v>
      </c>
      <c r="N26" s="7">
        <v>20</v>
      </c>
    </row>
    <row r="27" spans="1:14" x14ac:dyDescent="0.25">
      <c r="A27" s="3" t="s">
        <v>210</v>
      </c>
      <c r="B27" s="1">
        <v>41301.907546296294</v>
      </c>
      <c r="C27" s="1">
        <v>41301.907546296294</v>
      </c>
      <c r="D27" s="3" t="s">
        <v>232</v>
      </c>
      <c r="E27" s="11"/>
      <c r="F27" s="3" t="s">
        <v>285</v>
      </c>
      <c r="G27" s="3" t="s">
        <v>286</v>
      </c>
      <c r="H27" s="11"/>
      <c r="I27" s="11"/>
      <c r="J27" s="11"/>
      <c r="K27" s="7">
        <v>50</v>
      </c>
      <c r="L27" s="7">
        <v>0</v>
      </c>
      <c r="M27" s="7">
        <v>0</v>
      </c>
      <c r="N27" s="7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K1" sqref="K1"/>
    </sheetView>
  </sheetViews>
  <sheetFormatPr defaultRowHeight="15" x14ac:dyDescent="0.25"/>
  <sheetData>
    <row r="1" spans="1:14" x14ac:dyDescent="0.25">
      <c r="A1" s="10" t="s">
        <v>224</v>
      </c>
      <c r="B1" s="9">
        <v>41299.277037037034</v>
      </c>
      <c r="C1" s="9">
        <v>41299.277037037034</v>
      </c>
      <c r="D1" s="10" t="s">
        <v>287</v>
      </c>
      <c r="E1" s="4"/>
      <c r="F1" s="10" t="s">
        <v>288</v>
      </c>
      <c r="G1" s="10" t="s">
        <v>289</v>
      </c>
      <c r="H1" s="4"/>
      <c r="I1" s="4"/>
      <c r="J1" s="4"/>
      <c r="K1" s="12">
        <v>52</v>
      </c>
      <c r="L1" s="12">
        <v>0</v>
      </c>
      <c r="M1" s="12">
        <v>0</v>
      </c>
      <c r="N1" s="12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K1" sqref="K1:K4"/>
    </sheetView>
  </sheetViews>
  <sheetFormatPr defaultRowHeight="15" x14ac:dyDescent="0.25"/>
  <sheetData>
    <row r="1" spans="1:14" x14ac:dyDescent="0.25">
      <c r="A1" s="18" t="s">
        <v>219</v>
      </c>
      <c r="B1" s="19">
        <v>41295.595983796295</v>
      </c>
      <c r="C1" s="19">
        <v>41295.595983796295</v>
      </c>
      <c r="D1" s="18" t="s">
        <v>290</v>
      </c>
      <c r="E1" s="15"/>
      <c r="F1" s="18" t="s">
        <v>291</v>
      </c>
      <c r="G1" s="18" t="s">
        <v>292</v>
      </c>
      <c r="H1" s="15"/>
      <c r="I1" s="15"/>
      <c r="J1" s="15"/>
      <c r="K1" s="20">
        <v>100</v>
      </c>
      <c r="L1" s="20">
        <v>0</v>
      </c>
      <c r="M1" s="20">
        <v>0</v>
      </c>
      <c r="N1" s="20">
        <v>100</v>
      </c>
    </row>
    <row r="2" spans="1:14" x14ac:dyDescent="0.25">
      <c r="A2" s="18" t="s">
        <v>216</v>
      </c>
      <c r="B2" s="19">
        <v>41296.707986111112</v>
      </c>
      <c r="C2" s="19">
        <v>41296.707986111112</v>
      </c>
      <c r="D2" s="18" t="s">
        <v>290</v>
      </c>
      <c r="E2" s="15"/>
      <c r="F2" s="18" t="s">
        <v>293</v>
      </c>
      <c r="G2" s="18" t="s">
        <v>294</v>
      </c>
      <c r="H2" s="15"/>
      <c r="I2" s="15"/>
      <c r="J2" s="15"/>
      <c r="K2" s="20">
        <v>50</v>
      </c>
      <c r="L2" s="20">
        <v>0</v>
      </c>
      <c r="M2" s="20">
        <v>0</v>
      </c>
      <c r="N2" s="20">
        <v>50</v>
      </c>
    </row>
    <row r="3" spans="1:14" x14ac:dyDescent="0.25">
      <c r="A3" s="18" t="s">
        <v>224</v>
      </c>
      <c r="B3" s="19">
        <v>41296.789537037039</v>
      </c>
      <c r="C3" s="19">
        <v>41296.789537037039</v>
      </c>
      <c r="D3" s="18" t="s">
        <v>290</v>
      </c>
      <c r="E3" s="15"/>
      <c r="F3" s="18" t="s">
        <v>295</v>
      </c>
      <c r="G3" s="18" t="s">
        <v>296</v>
      </c>
      <c r="H3" s="15"/>
      <c r="I3" s="15"/>
      <c r="J3" s="15"/>
      <c r="K3" s="20">
        <v>50</v>
      </c>
      <c r="L3" s="20">
        <v>0</v>
      </c>
      <c r="M3" s="20">
        <v>0</v>
      </c>
      <c r="N3" s="20">
        <v>50</v>
      </c>
    </row>
    <row r="4" spans="1:14" x14ac:dyDescent="0.25">
      <c r="A4" s="18" t="s">
        <v>219</v>
      </c>
      <c r="B4" s="19">
        <v>41299.964675925927</v>
      </c>
      <c r="C4" s="19">
        <v>41299.964675925927</v>
      </c>
      <c r="D4" s="18" t="s">
        <v>290</v>
      </c>
      <c r="E4" s="15"/>
      <c r="F4" s="18" t="s">
        <v>297</v>
      </c>
      <c r="G4" s="18" t="s">
        <v>298</v>
      </c>
      <c r="H4" s="15"/>
      <c r="I4" s="15"/>
      <c r="J4" s="15"/>
      <c r="K4" s="20">
        <v>250</v>
      </c>
      <c r="L4" s="20">
        <v>0</v>
      </c>
      <c r="M4" s="20">
        <v>0</v>
      </c>
      <c r="N4" s="20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5"/>
  <sheetViews>
    <sheetView tabSelected="1" topLeftCell="A79" workbookViewId="0">
      <selection activeCell="B6" sqref="B6"/>
    </sheetView>
  </sheetViews>
  <sheetFormatPr defaultRowHeight="15" x14ac:dyDescent="0.25"/>
  <sheetData>
    <row r="2" spans="1:2" x14ac:dyDescent="0.25">
      <c r="A2" t="s">
        <v>211</v>
      </c>
      <c r="B2">
        <f>SUM(DNP!N2:N28)</f>
        <v>2365</v>
      </c>
    </row>
    <row r="3" spans="1:2" x14ac:dyDescent="0.25">
      <c r="A3" t="s">
        <v>225</v>
      </c>
      <c r="B3" s="6">
        <f>SUM(QP!F2)</f>
        <v>51.94</v>
      </c>
    </row>
    <row r="4" spans="1:2" x14ac:dyDescent="0.25">
      <c r="A4" t="s">
        <v>220</v>
      </c>
      <c r="B4">
        <f>SUM('QP1'!F2:F5)</f>
        <v>449.83000000000004</v>
      </c>
    </row>
    <row r="5" spans="1:2" x14ac:dyDescent="0.25">
      <c r="B5">
        <f>SUM(B2:B4)</f>
        <v>2866.77</v>
      </c>
    </row>
    <row r="8" spans="1:2" x14ac:dyDescent="0.25">
      <c r="A8" t="s">
        <v>299</v>
      </c>
      <c r="B8">
        <f>SUM(DF!K1:K32)</f>
        <v>2867</v>
      </c>
    </row>
    <row r="12" spans="1:2" x14ac:dyDescent="0.25">
      <c r="A12" t="s">
        <v>300</v>
      </c>
      <c r="B12" s="21">
        <f>SUM(DGSDNP!K1:K27)</f>
        <v>2365</v>
      </c>
    </row>
    <row r="13" spans="1:2" x14ac:dyDescent="0.25">
      <c r="A13" t="s">
        <v>301</v>
      </c>
      <c r="B13" s="21">
        <f>SUM(DGSQP!K1)</f>
        <v>52</v>
      </c>
    </row>
    <row r="14" spans="1:2" x14ac:dyDescent="0.25">
      <c r="A14" t="s">
        <v>302</v>
      </c>
      <c r="B14" s="21">
        <f>SUM(DGSQP1!K1:K4)</f>
        <v>450</v>
      </c>
    </row>
    <row r="15" spans="1:2" x14ac:dyDescent="0.25">
      <c r="B15" s="21">
        <f>SUM(B12:B14)</f>
        <v>2867</v>
      </c>
    </row>
    <row r="17" spans="1:3" x14ac:dyDescent="0.25">
      <c r="A17" s="16"/>
      <c r="B17" s="16"/>
      <c r="C17" s="16"/>
    </row>
    <row r="18" spans="1:3" x14ac:dyDescent="0.25">
      <c r="A18" s="16"/>
      <c r="B18" s="16"/>
      <c r="C18" s="16"/>
    </row>
    <row r="19" spans="1:3" x14ac:dyDescent="0.25">
      <c r="A19" s="25"/>
      <c r="B19" s="16"/>
      <c r="C19" s="16"/>
    </row>
    <row r="20" spans="1:3" x14ac:dyDescent="0.25">
      <c r="A20" s="23">
        <v>820</v>
      </c>
      <c r="B20" s="23" t="s">
        <v>211</v>
      </c>
      <c r="C20" s="23">
        <v>60</v>
      </c>
    </row>
    <row r="21" spans="1:3" x14ac:dyDescent="0.25">
      <c r="A21" s="22">
        <v>820</v>
      </c>
      <c r="B21" s="22" t="s">
        <v>299</v>
      </c>
      <c r="C21" s="22">
        <v>60</v>
      </c>
    </row>
    <row r="22" spans="1:3" x14ac:dyDescent="0.25">
      <c r="A22" s="29">
        <v>820</v>
      </c>
      <c r="B22" s="24" t="s">
        <v>300</v>
      </c>
      <c r="C22" s="30">
        <v>60</v>
      </c>
    </row>
    <row r="23" spans="1:3" x14ac:dyDescent="0.25">
      <c r="A23" s="26" t="s">
        <v>205</v>
      </c>
      <c r="B23" s="27" t="s">
        <v>220</v>
      </c>
      <c r="C23" s="28">
        <v>99.93</v>
      </c>
    </row>
    <row r="24" spans="1:3" x14ac:dyDescent="0.25">
      <c r="A24" s="22">
        <v>821</v>
      </c>
      <c r="B24" s="22" t="s">
        <v>299</v>
      </c>
      <c r="C24" s="22">
        <v>100</v>
      </c>
    </row>
    <row r="25" spans="1:3" x14ac:dyDescent="0.25">
      <c r="A25" s="31">
        <v>821</v>
      </c>
      <c r="B25" s="32" t="s">
        <v>302</v>
      </c>
      <c r="C25" s="33">
        <v>100</v>
      </c>
    </row>
    <row r="26" spans="1:3" x14ac:dyDescent="0.25">
      <c r="A26" s="23">
        <v>823</v>
      </c>
      <c r="B26" s="23" t="s">
        <v>211</v>
      </c>
      <c r="C26" s="23">
        <v>50</v>
      </c>
    </row>
    <row r="27" spans="1:3" x14ac:dyDescent="0.25">
      <c r="A27" s="22">
        <v>823</v>
      </c>
      <c r="B27" s="22" t="s">
        <v>299</v>
      </c>
      <c r="C27" s="22">
        <v>50</v>
      </c>
    </row>
    <row r="28" spans="1:3" x14ac:dyDescent="0.25">
      <c r="A28" s="29">
        <v>823</v>
      </c>
      <c r="B28" s="24" t="s">
        <v>300</v>
      </c>
      <c r="C28" s="30">
        <v>50</v>
      </c>
    </row>
    <row r="29" spans="1:3" x14ac:dyDescent="0.25">
      <c r="A29" s="23">
        <v>827</v>
      </c>
      <c r="B29" s="23" t="s">
        <v>211</v>
      </c>
      <c r="C29" s="23">
        <v>200</v>
      </c>
    </row>
    <row r="30" spans="1:3" x14ac:dyDescent="0.25">
      <c r="A30" s="22">
        <v>827</v>
      </c>
      <c r="B30" s="22" t="s">
        <v>299</v>
      </c>
      <c r="C30" s="22">
        <v>200</v>
      </c>
    </row>
    <row r="31" spans="1:3" x14ac:dyDescent="0.25">
      <c r="A31" s="29">
        <v>827</v>
      </c>
      <c r="B31" s="24" t="s">
        <v>300</v>
      </c>
      <c r="C31" s="30">
        <v>200</v>
      </c>
    </row>
    <row r="32" spans="1:3" x14ac:dyDescent="0.25">
      <c r="A32" s="23">
        <v>833</v>
      </c>
      <c r="B32" s="23" t="s">
        <v>211</v>
      </c>
      <c r="C32" s="23">
        <v>50</v>
      </c>
    </row>
    <row r="33" spans="1:3" x14ac:dyDescent="0.25">
      <c r="A33" s="22">
        <v>833</v>
      </c>
      <c r="B33" s="22" t="s">
        <v>299</v>
      </c>
      <c r="C33" s="22">
        <v>50</v>
      </c>
    </row>
    <row r="34" spans="1:3" x14ac:dyDescent="0.25">
      <c r="A34" s="29">
        <v>833</v>
      </c>
      <c r="B34" s="24" t="s">
        <v>300</v>
      </c>
      <c r="C34" s="30">
        <v>50</v>
      </c>
    </row>
    <row r="35" spans="1:3" x14ac:dyDescent="0.25">
      <c r="A35" s="26" t="s">
        <v>191</v>
      </c>
      <c r="B35" s="27" t="s">
        <v>220</v>
      </c>
      <c r="C35" s="28">
        <v>49.94</v>
      </c>
    </row>
    <row r="36" spans="1:3" x14ac:dyDescent="0.25">
      <c r="A36" s="22">
        <v>834</v>
      </c>
      <c r="B36" s="22" t="s">
        <v>299</v>
      </c>
      <c r="C36" s="22">
        <v>50</v>
      </c>
    </row>
    <row r="37" spans="1:3" x14ac:dyDescent="0.25">
      <c r="A37" s="31">
        <v>834</v>
      </c>
      <c r="B37" s="32" t="s">
        <v>302</v>
      </c>
      <c r="C37" s="33">
        <v>50</v>
      </c>
    </row>
    <row r="38" spans="1:3" x14ac:dyDescent="0.25">
      <c r="A38" s="26" t="s">
        <v>182</v>
      </c>
      <c r="B38" s="27" t="s">
        <v>220</v>
      </c>
      <c r="C38" s="28">
        <v>49.97</v>
      </c>
    </row>
    <row r="39" spans="1:3" x14ac:dyDescent="0.25">
      <c r="A39" s="22">
        <v>838</v>
      </c>
      <c r="B39" s="22" t="s">
        <v>299</v>
      </c>
      <c r="C39" s="22">
        <v>50</v>
      </c>
    </row>
    <row r="40" spans="1:3" x14ac:dyDescent="0.25">
      <c r="A40" s="31">
        <v>838</v>
      </c>
      <c r="B40" s="32" t="s">
        <v>302</v>
      </c>
      <c r="C40" s="33">
        <v>50</v>
      </c>
    </row>
    <row r="41" spans="1:3" x14ac:dyDescent="0.25">
      <c r="A41" s="23">
        <v>840</v>
      </c>
      <c r="B41" s="23" t="s">
        <v>211</v>
      </c>
      <c r="C41" s="23">
        <v>60</v>
      </c>
    </row>
    <row r="42" spans="1:3" x14ac:dyDescent="0.25">
      <c r="A42" s="22">
        <v>840</v>
      </c>
      <c r="B42" s="22" t="s">
        <v>299</v>
      </c>
      <c r="C42" s="22">
        <v>60</v>
      </c>
    </row>
    <row r="43" spans="1:3" x14ac:dyDescent="0.25">
      <c r="A43" s="29">
        <v>840</v>
      </c>
      <c r="B43" s="24" t="s">
        <v>300</v>
      </c>
      <c r="C43" s="30">
        <v>60</v>
      </c>
    </row>
    <row r="44" spans="1:3" x14ac:dyDescent="0.25">
      <c r="A44" s="23">
        <v>845</v>
      </c>
      <c r="B44" s="23" t="s">
        <v>211</v>
      </c>
      <c r="C44" s="23">
        <v>20</v>
      </c>
    </row>
    <row r="45" spans="1:3" x14ac:dyDescent="0.25">
      <c r="A45" s="22">
        <v>845</v>
      </c>
      <c r="B45" s="22" t="s">
        <v>299</v>
      </c>
      <c r="C45" s="22">
        <v>20</v>
      </c>
    </row>
    <row r="46" spans="1:3" x14ac:dyDescent="0.25">
      <c r="A46" s="29">
        <v>845</v>
      </c>
      <c r="B46" s="24" t="s">
        <v>300</v>
      </c>
      <c r="C46" s="30">
        <v>20</v>
      </c>
    </row>
    <row r="47" spans="1:3" x14ac:dyDescent="0.25">
      <c r="A47" s="23">
        <v>847</v>
      </c>
      <c r="B47" s="23" t="s">
        <v>211</v>
      </c>
      <c r="C47" s="23">
        <v>25</v>
      </c>
    </row>
    <row r="48" spans="1:3" x14ac:dyDescent="0.25">
      <c r="A48" s="22">
        <v>847</v>
      </c>
      <c r="B48" s="22" t="s">
        <v>299</v>
      </c>
      <c r="C48" s="22">
        <v>25</v>
      </c>
    </row>
    <row r="49" spans="1:3" x14ac:dyDescent="0.25">
      <c r="A49" s="29">
        <v>847</v>
      </c>
      <c r="B49" s="24" t="s">
        <v>300</v>
      </c>
      <c r="C49" s="30">
        <v>25</v>
      </c>
    </row>
    <row r="50" spans="1:3" x14ac:dyDescent="0.25">
      <c r="A50" s="23">
        <v>850</v>
      </c>
      <c r="B50" s="23" t="s">
        <v>211</v>
      </c>
      <c r="C50" s="23">
        <v>50</v>
      </c>
    </row>
    <row r="51" spans="1:3" x14ac:dyDescent="0.25">
      <c r="A51" s="22">
        <v>850</v>
      </c>
      <c r="B51" s="22" t="s">
        <v>299</v>
      </c>
      <c r="C51" s="22">
        <v>50</v>
      </c>
    </row>
    <row r="52" spans="1:3" x14ac:dyDescent="0.25">
      <c r="A52" s="29">
        <v>850</v>
      </c>
      <c r="B52" s="24" t="s">
        <v>300</v>
      </c>
      <c r="C52" s="30">
        <v>50</v>
      </c>
    </row>
    <row r="53" spans="1:3" x14ac:dyDescent="0.25">
      <c r="A53" s="23">
        <v>853</v>
      </c>
      <c r="B53" s="23" t="s">
        <v>211</v>
      </c>
      <c r="C53" s="23">
        <v>50</v>
      </c>
    </row>
    <row r="54" spans="1:3" x14ac:dyDescent="0.25">
      <c r="A54" s="22">
        <v>853</v>
      </c>
      <c r="B54" s="22" t="s">
        <v>299</v>
      </c>
      <c r="C54" s="22">
        <v>50</v>
      </c>
    </row>
    <row r="55" spans="1:3" x14ac:dyDescent="0.25">
      <c r="A55" s="29">
        <v>853</v>
      </c>
      <c r="B55" s="24" t="s">
        <v>300</v>
      </c>
      <c r="C55" s="30">
        <v>50</v>
      </c>
    </row>
    <row r="56" spans="1:3" x14ac:dyDescent="0.25">
      <c r="A56" s="23">
        <v>857</v>
      </c>
      <c r="B56" s="23" t="s">
        <v>211</v>
      </c>
      <c r="C56" s="23">
        <v>250</v>
      </c>
    </row>
    <row r="57" spans="1:3" x14ac:dyDescent="0.25">
      <c r="A57" s="22">
        <v>857</v>
      </c>
      <c r="B57" s="22" t="s">
        <v>299</v>
      </c>
      <c r="C57" s="22">
        <v>250</v>
      </c>
    </row>
    <row r="58" spans="1:3" x14ac:dyDescent="0.25">
      <c r="A58" s="29">
        <v>857</v>
      </c>
      <c r="B58" s="24" t="s">
        <v>300</v>
      </c>
      <c r="C58" s="30">
        <v>250</v>
      </c>
    </row>
    <row r="59" spans="1:3" x14ac:dyDescent="0.25">
      <c r="A59" s="23">
        <v>859</v>
      </c>
      <c r="B59" s="23" t="s">
        <v>211</v>
      </c>
      <c r="C59" s="23">
        <v>250</v>
      </c>
    </row>
    <row r="60" spans="1:3" x14ac:dyDescent="0.25">
      <c r="A60" s="22">
        <v>859</v>
      </c>
      <c r="B60" s="22" t="s">
        <v>299</v>
      </c>
      <c r="C60" s="22">
        <v>250</v>
      </c>
    </row>
    <row r="61" spans="1:3" x14ac:dyDescent="0.25">
      <c r="A61" s="29">
        <v>859</v>
      </c>
      <c r="B61" s="24" t="s">
        <v>300</v>
      </c>
      <c r="C61" s="30">
        <v>250</v>
      </c>
    </row>
    <row r="62" spans="1:3" x14ac:dyDescent="0.25">
      <c r="A62" s="23">
        <v>861</v>
      </c>
      <c r="B62" s="23" t="s">
        <v>211</v>
      </c>
      <c r="C62" s="23">
        <v>50</v>
      </c>
    </row>
    <row r="63" spans="1:3" x14ac:dyDescent="0.25">
      <c r="A63" s="22">
        <v>861</v>
      </c>
      <c r="B63" s="22" t="s">
        <v>299</v>
      </c>
      <c r="C63" s="22">
        <v>50</v>
      </c>
    </row>
    <row r="64" spans="1:3" x14ac:dyDescent="0.25">
      <c r="A64" s="29">
        <v>861</v>
      </c>
      <c r="B64" s="24" t="s">
        <v>300</v>
      </c>
      <c r="C64" s="30">
        <v>50</v>
      </c>
    </row>
    <row r="65" spans="1:3" x14ac:dyDescent="0.25">
      <c r="A65" s="23">
        <v>863</v>
      </c>
      <c r="B65" s="23" t="s">
        <v>211</v>
      </c>
      <c r="C65" s="23">
        <v>100</v>
      </c>
    </row>
    <row r="66" spans="1:3" x14ac:dyDescent="0.25">
      <c r="A66" s="22">
        <v>863</v>
      </c>
      <c r="B66" s="22" t="s">
        <v>299</v>
      </c>
      <c r="C66" s="22">
        <v>100</v>
      </c>
    </row>
    <row r="67" spans="1:3" x14ac:dyDescent="0.25">
      <c r="A67" s="29">
        <v>863</v>
      </c>
      <c r="B67" s="24" t="s">
        <v>300</v>
      </c>
      <c r="C67" s="30">
        <v>100</v>
      </c>
    </row>
    <row r="68" spans="1:3" x14ac:dyDescent="0.25">
      <c r="A68" s="23">
        <v>865</v>
      </c>
      <c r="B68" s="23" t="s">
        <v>211</v>
      </c>
      <c r="C68" s="23">
        <v>50</v>
      </c>
    </row>
    <row r="69" spans="1:3" x14ac:dyDescent="0.25">
      <c r="A69" s="22">
        <v>865</v>
      </c>
      <c r="B69" s="22" t="s">
        <v>299</v>
      </c>
      <c r="C69" s="22">
        <v>50</v>
      </c>
    </row>
    <row r="70" spans="1:3" x14ac:dyDescent="0.25">
      <c r="A70" s="29">
        <v>865</v>
      </c>
      <c r="B70" s="24" t="s">
        <v>300</v>
      </c>
      <c r="C70" s="30">
        <v>50</v>
      </c>
    </row>
    <row r="71" spans="1:3" x14ac:dyDescent="0.25">
      <c r="A71" s="23">
        <v>873</v>
      </c>
      <c r="B71" s="23" t="s">
        <v>211</v>
      </c>
      <c r="C71" s="23">
        <v>100</v>
      </c>
    </row>
    <row r="72" spans="1:3" x14ac:dyDescent="0.25">
      <c r="A72" s="22">
        <v>873</v>
      </c>
      <c r="B72" s="22" t="s">
        <v>299</v>
      </c>
      <c r="C72" s="22">
        <v>100</v>
      </c>
    </row>
    <row r="73" spans="1:3" x14ac:dyDescent="0.25">
      <c r="A73" s="29">
        <v>873</v>
      </c>
      <c r="B73" s="24" t="s">
        <v>300</v>
      </c>
      <c r="C73" s="30">
        <v>100</v>
      </c>
    </row>
    <row r="74" spans="1:3" s="16" customFormat="1" x14ac:dyDescent="0.25">
      <c r="A74" s="16">
        <v>877</v>
      </c>
      <c r="B74" s="16" t="s">
        <v>303</v>
      </c>
      <c r="C74" s="16">
        <v>51.94</v>
      </c>
    </row>
    <row r="75" spans="1:3" x14ac:dyDescent="0.25">
      <c r="A75" s="22">
        <v>877</v>
      </c>
      <c r="B75" s="22" t="s">
        <v>299</v>
      </c>
      <c r="C75" s="22">
        <v>52</v>
      </c>
    </row>
    <row r="76" spans="1:3" x14ac:dyDescent="0.25">
      <c r="A76" s="34">
        <v>877</v>
      </c>
      <c r="B76" s="35" t="s">
        <v>301</v>
      </c>
      <c r="C76" s="36">
        <v>52</v>
      </c>
    </row>
    <row r="77" spans="1:3" x14ac:dyDescent="0.25">
      <c r="A77" s="23">
        <v>881</v>
      </c>
      <c r="B77" s="23" t="s">
        <v>211</v>
      </c>
      <c r="C77" s="23">
        <v>40</v>
      </c>
    </row>
    <row r="78" spans="1:3" x14ac:dyDescent="0.25">
      <c r="A78" s="22">
        <v>881</v>
      </c>
      <c r="B78" s="22" t="s">
        <v>299</v>
      </c>
      <c r="C78" s="22">
        <v>40</v>
      </c>
    </row>
    <row r="79" spans="1:3" x14ac:dyDescent="0.25">
      <c r="A79" s="29">
        <v>881</v>
      </c>
      <c r="B79" s="24" t="s">
        <v>300</v>
      </c>
      <c r="C79" s="30">
        <v>40</v>
      </c>
    </row>
    <row r="80" spans="1:3" x14ac:dyDescent="0.25">
      <c r="A80" s="23">
        <v>883</v>
      </c>
      <c r="B80" s="23" t="s">
        <v>211</v>
      </c>
      <c r="C80" s="23">
        <v>70</v>
      </c>
    </row>
    <row r="81" spans="1:3" x14ac:dyDescent="0.25">
      <c r="A81" s="22">
        <v>883</v>
      </c>
      <c r="B81" s="22" t="s">
        <v>299</v>
      </c>
      <c r="C81" s="22">
        <v>70</v>
      </c>
    </row>
    <row r="82" spans="1:3" x14ac:dyDescent="0.25">
      <c r="A82" s="29">
        <v>883</v>
      </c>
      <c r="B82" s="24" t="s">
        <v>300</v>
      </c>
      <c r="C82" s="30">
        <v>70</v>
      </c>
    </row>
    <row r="83" spans="1:3" x14ac:dyDescent="0.25">
      <c r="A83" s="23">
        <v>889</v>
      </c>
      <c r="B83" s="23" t="s">
        <v>211</v>
      </c>
      <c r="C83" s="23">
        <v>80</v>
      </c>
    </row>
    <row r="84" spans="1:3" x14ac:dyDescent="0.25">
      <c r="A84" s="22">
        <v>889</v>
      </c>
      <c r="B84" s="22" t="s">
        <v>299</v>
      </c>
      <c r="C84" s="22">
        <v>80</v>
      </c>
    </row>
    <row r="85" spans="1:3" x14ac:dyDescent="0.25">
      <c r="A85" s="29">
        <v>889</v>
      </c>
      <c r="B85" s="24" t="s">
        <v>300</v>
      </c>
      <c r="C85" s="30">
        <v>80</v>
      </c>
    </row>
    <row r="86" spans="1:3" x14ac:dyDescent="0.25">
      <c r="A86" s="23">
        <v>891</v>
      </c>
      <c r="B86" s="23" t="s">
        <v>211</v>
      </c>
      <c r="C86" s="23">
        <v>250</v>
      </c>
    </row>
    <row r="87" spans="1:3" x14ac:dyDescent="0.25">
      <c r="A87" s="22">
        <v>891</v>
      </c>
      <c r="B87" s="22" t="s">
        <v>299</v>
      </c>
      <c r="C87" s="22">
        <v>250</v>
      </c>
    </row>
    <row r="88" spans="1:3" x14ac:dyDescent="0.25">
      <c r="A88" s="29">
        <v>891</v>
      </c>
      <c r="B88" s="24" t="s">
        <v>300</v>
      </c>
      <c r="C88" s="30">
        <v>250</v>
      </c>
    </row>
    <row r="89" spans="1:3" x14ac:dyDescent="0.25">
      <c r="A89" s="26" t="s">
        <v>162</v>
      </c>
      <c r="B89" s="27" t="s">
        <v>220</v>
      </c>
      <c r="C89" s="28">
        <v>249.99</v>
      </c>
    </row>
    <row r="90" spans="1:3" x14ac:dyDescent="0.25">
      <c r="A90" s="22">
        <v>895</v>
      </c>
      <c r="B90" s="22" t="s">
        <v>299</v>
      </c>
      <c r="C90" s="22">
        <v>250</v>
      </c>
    </row>
    <row r="91" spans="1:3" x14ac:dyDescent="0.25">
      <c r="A91" s="31">
        <v>895</v>
      </c>
      <c r="B91" s="32" t="s">
        <v>302</v>
      </c>
      <c r="C91" s="33">
        <v>250</v>
      </c>
    </row>
    <row r="92" spans="1:3" x14ac:dyDescent="0.25">
      <c r="A92" s="23">
        <v>900</v>
      </c>
      <c r="B92" s="23" t="s">
        <v>211</v>
      </c>
      <c r="C92" s="23">
        <v>100</v>
      </c>
    </row>
    <row r="93" spans="1:3" x14ac:dyDescent="0.25">
      <c r="A93" s="22">
        <v>900</v>
      </c>
      <c r="B93" s="22" t="s">
        <v>299</v>
      </c>
      <c r="C93" s="22">
        <v>100</v>
      </c>
    </row>
    <row r="94" spans="1:3" x14ac:dyDescent="0.25">
      <c r="A94" s="29">
        <v>900</v>
      </c>
      <c r="B94" s="24" t="s">
        <v>300</v>
      </c>
      <c r="C94" s="30">
        <v>100</v>
      </c>
    </row>
    <row r="95" spans="1:3" x14ac:dyDescent="0.25">
      <c r="A95" s="23">
        <v>902</v>
      </c>
      <c r="B95" s="23" t="s">
        <v>211</v>
      </c>
      <c r="C95" s="23">
        <v>50</v>
      </c>
    </row>
    <row r="96" spans="1:3" x14ac:dyDescent="0.25">
      <c r="A96" s="22">
        <v>902</v>
      </c>
      <c r="B96" s="22" t="s">
        <v>299</v>
      </c>
      <c r="C96" s="22">
        <v>50</v>
      </c>
    </row>
    <row r="97" spans="1:3" x14ac:dyDescent="0.25">
      <c r="A97" s="29">
        <v>902</v>
      </c>
      <c r="B97" s="24" t="s">
        <v>300</v>
      </c>
      <c r="C97" s="30">
        <v>50</v>
      </c>
    </row>
    <row r="98" spans="1:3" x14ac:dyDescent="0.25">
      <c r="A98" s="23">
        <v>913</v>
      </c>
      <c r="B98" s="23" t="s">
        <v>211</v>
      </c>
      <c r="C98" s="23">
        <v>50</v>
      </c>
    </row>
    <row r="99" spans="1:3" x14ac:dyDescent="0.25">
      <c r="A99" s="22">
        <v>913</v>
      </c>
      <c r="B99" s="22" t="s">
        <v>299</v>
      </c>
      <c r="C99" s="22">
        <v>50</v>
      </c>
    </row>
    <row r="100" spans="1:3" x14ac:dyDescent="0.25">
      <c r="A100" s="29">
        <v>913</v>
      </c>
      <c r="B100" s="24" t="s">
        <v>300</v>
      </c>
      <c r="C100" s="30">
        <v>50</v>
      </c>
    </row>
    <row r="101" spans="1:3" x14ac:dyDescent="0.25">
      <c r="A101" s="23">
        <v>923</v>
      </c>
      <c r="B101" s="23" t="s">
        <v>211</v>
      </c>
      <c r="C101" s="23">
        <v>100</v>
      </c>
    </row>
    <row r="102" spans="1:3" x14ac:dyDescent="0.25">
      <c r="A102" s="22">
        <v>923</v>
      </c>
      <c r="B102" s="22" t="s">
        <v>299</v>
      </c>
      <c r="C102" s="22">
        <v>100</v>
      </c>
    </row>
    <row r="103" spans="1:3" x14ac:dyDescent="0.25">
      <c r="A103" s="29">
        <v>923</v>
      </c>
      <c r="B103" s="24" t="s">
        <v>300</v>
      </c>
      <c r="C103" s="30">
        <v>100</v>
      </c>
    </row>
    <row r="104" spans="1:3" s="16" customFormat="1" x14ac:dyDescent="0.25">
      <c r="A104" s="37">
        <v>924</v>
      </c>
      <c r="B104" s="22" t="s">
        <v>299</v>
      </c>
      <c r="C104" s="38">
        <v>120</v>
      </c>
    </row>
    <row r="105" spans="1:3" x14ac:dyDescent="0.25">
      <c r="A105" s="23">
        <v>924</v>
      </c>
      <c r="B105" s="23" t="s">
        <v>211</v>
      </c>
      <c r="C105" s="23">
        <v>120</v>
      </c>
    </row>
    <row r="106" spans="1:3" x14ac:dyDescent="0.25">
      <c r="A106" s="29">
        <v>924</v>
      </c>
      <c r="B106" s="24" t="s">
        <v>300</v>
      </c>
      <c r="C106" s="30">
        <v>120</v>
      </c>
    </row>
    <row r="107" spans="1:3" s="16" customFormat="1" x14ac:dyDescent="0.25">
      <c r="A107" s="37">
        <v>931</v>
      </c>
      <c r="B107" s="22" t="s">
        <v>299</v>
      </c>
      <c r="C107" s="38">
        <v>70</v>
      </c>
    </row>
    <row r="108" spans="1:3" x14ac:dyDescent="0.25">
      <c r="A108" s="23">
        <v>931</v>
      </c>
      <c r="B108" s="23" t="s">
        <v>211</v>
      </c>
      <c r="C108" s="23">
        <v>70</v>
      </c>
    </row>
    <row r="109" spans="1:3" x14ac:dyDescent="0.25">
      <c r="A109" s="29">
        <v>931</v>
      </c>
      <c r="B109" s="24" t="s">
        <v>300</v>
      </c>
      <c r="C109" s="30">
        <v>70</v>
      </c>
    </row>
    <row r="110" spans="1:3" s="16" customFormat="1" x14ac:dyDescent="0.25">
      <c r="A110" s="37">
        <v>933</v>
      </c>
      <c r="B110" s="22" t="s">
        <v>299</v>
      </c>
      <c r="C110" s="38">
        <v>20</v>
      </c>
    </row>
    <row r="111" spans="1:3" x14ac:dyDescent="0.25">
      <c r="A111" s="23">
        <v>933</v>
      </c>
      <c r="B111" s="23" t="s">
        <v>211</v>
      </c>
      <c r="C111" s="23">
        <v>20</v>
      </c>
    </row>
    <row r="112" spans="1:3" x14ac:dyDescent="0.25">
      <c r="A112" s="29">
        <v>933</v>
      </c>
      <c r="B112" s="24" t="s">
        <v>300</v>
      </c>
      <c r="C112" s="30">
        <v>20</v>
      </c>
    </row>
    <row r="113" spans="1:3" x14ac:dyDescent="0.25">
      <c r="A113" s="29">
        <v>935</v>
      </c>
      <c r="B113" s="24" t="s">
        <v>300</v>
      </c>
      <c r="C113" s="30">
        <v>50</v>
      </c>
    </row>
    <row r="114" spans="1:3" x14ac:dyDescent="0.25">
      <c r="A114" s="37">
        <v>935</v>
      </c>
      <c r="B114" s="22" t="s">
        <v>299</v>
      </c>
      <c r="C114" s="38">
        <v>50</v>
      </c>
    </row>
    <row r="115" spans="1:3" x14ac:dyDescent="0.25">
      <c r="A115" s="40">
        <v>935</v>
      </c>
      <c r="B115" s="23" t="s">
        <v>211</v>
      </c>
      <c r="C115" s="41">
        <v>50</v>
      </c>
    </row>
  </sheetData>
  <sortState ref="A17:C109">
    <sortCondition ref="A17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</vt:lpstr>
      <vt:lpstr>QP1</vt:lpstr>
      <vt:lpstr>DF</vt:lpstr>
      <vt:lpstr>DGSDNP</vt:lpstr>
      <vt:lpstr>DGSQP</vt:lpstr>
      <vt:lpstr>DGSQP1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2013-01-29T21:38:08Z</dcterms:created>
  <dcterms:modified xsi:type="dcterms:W3CDTF">2013-01-30T00:03:33Z</dcterms:modified>
</cp:coreProperties>
</file>