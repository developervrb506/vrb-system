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2995" windowHeight="9915" activeTab="7"/>
  </bookViews>
  <sheets>
    <sheet name="DNP" sheetId="1" r:id="rId1"/>
    <sheet name="QP" sheetId="2" r:id="rId2"/>
    <sheet name="QP1" sheetId="3" r:id="rId3"/>
    <sheet name="DF" sheetId="4" r:id="rId4"/>
    <sheet name="DGSDNP" sheetId="5" r:id="rId5"/>
    <sheet name="DGSQP" sheetId="6" r:id="rId6"/>
    <sheet name="DGSQP1" sheetId="7" r:id="rId7"/>
    <sheet name="RECON" sheetId="8" r:id="rId8"/>
  </sheets>
  <calcPr calcId="145621"/>
</workbook>
</file>

<file path=xl/calcChain.xml><?xml version="1.0" encoding="utf-8"?>
<calcChain xmlns="http://schemas.openxmlformats.org/spreadsheetml/2006/main">
  <c r="B10" i="8" l="1"/>
  <c r="B14" i="8" s="1"/>
  <c r="B2" i="8"/>
  <c r="B12" i="8"/>
  <c r="B11" i="8"/>
  <c r="B8" i="8"/>
  <c r="B6" i="8"/>
  <c r="B4" i="8"/>
  <c r="B3" i="8"/>
</calcChain>
</file>

<file path=xl/sharedStrings.xml><?xml version="1.0" encoding="utf-8"?>
<sst xmlns="http://schemas.openxmlformats.org/spreadsheetml/2006/main" count="1247" uniqueCount="348">
  <si>
    <t>JEFF.RUDEL@GMAIL.COM</t>
  </si>
  <si>
    <t>Jeffrey Rudel</t>
  </si>
  <si>
    <t>IN</t>
  </si>
  <si>
    <t>USA</t>
  </si>
  <si>
    <t>76.248.245.216</t>
  </si>
  <si>
    <t>406032***7053</t>
  </si>
  <si>
    <t>VISA</t>
  </si>
  <si>
    <t>Debit</t>
  </si>
  <si>
    <t>JPMORGAN CHASE BANK, N.A.</t>
  </si>
  <si>
    <t>Approved</t>
  </si>
  <si>
    <t>CHARGEVERIFY (50187908): passed</t>
  </si>
  <si>
    <t>Merchant 2295</t>
  </si>
  <si>
    <t>JEFFCORDON@ME.COM</t>
  </si>
  <si>
    <t>Jeff Cordon</t>
  </si>
  <si>
    <t>CA</t>
  </si>
  <si>
    <t>174.235.5.71</t>
  </si>
  <si>
    <t>436618***9412</t>
  </si>
  <si>
    <t>U.S. BANK, N.A.</t>
  </si>
  <si>
    <t>CHARGEVERIFY (50176464): passed</t>
  </si>
  <si>
    <t>jtalk18@hotmail.com</t>
  </si>
  <si>
    <t>Josh Talkington</t>
  </si>
  <si>
    <t>FL</t>
  </si>
  <si>
    <t>184.88.100.59</t>
  </si>
  <si>
    <t>456534***5097</t>
  </si>
  <si>
    <t>NATIONAL BANK OF ABU DHABI</t>
  </si>
  <si>
    <t>CHARGEVERIFY (50174146): passed</t>
  </si>
  <si>
    <t>SPG2010@AOL.COM</t>
  </si>
  <si>
    <t>Bryan Garris</t>
  </si>
  <si>
    <t>VA</t>
  </si>
  <si>
    <t>72.66.20.186</t>
  </si>
  <si>
    <t>441840***5120</t>
  </si>
  <si>
    <t>Credit</t>
  </si>
  <si>
    <t>FIRST NATIONAL BANK OF OMAHA</t>
  </si>
  <si>
    <t>CHARGEVERIFY (50169563): passed</t>
  </si>
  <si>
    <t>zachritzer@aol.com</t>
  </si>
  <si>
    <t>Zachary Ritzer</t>
  </si>
  <si>
    <t>NY</t>
  </si>
  <si>
    <t>38.115.20.64</t>
  </si>
  <si>
    <t>403784***6833</t>
  </si>
  <si>
    <t>U.S. BANK NATIONAL ASSOCIATION ND</t>
  </si>
  <si>
    <t>CHARGEVERIFY (50154948): passed</t>
  </si>
  <si>
    <t>edjp@comcast.net</t>
  </si>
  <si>
    <t>Edwin Petruzzi</t>
  </si>
  <si>
    <t>NJ</t>
  </si>
  <si>
    <t>24.0.221.52</t>
  </si>
  <si>
    <t>473702***6243</t>
  </si>
  <si>
    <t>WELLS FARGO BANK, N.A.</t>
  </si>
  <si>
    <t>CHARGEVERIFY (50144652): passed</t>
  </si>
  <si>
    <t>tgerbodocs@gmail.com</t>
  </si>
  <si>
    <t>Todd Gerbovaz</t>
  </si>
  <si>
    <t>173.58.45.201</t>
  </si>
  <si>
    <t>481583***8721</t>
  </si>
  <si>
    <t>Unknown</t>
  </si>
  <si>
    <t>CHARGEVERIFY (50142980): passed</t>
  </si>
  <si>
    <t>FRENCHDAWG295@GMAIL.COM</t>
  </si>
  <si>
    <t>Ryan Fuqua</t>
  </si>
  <si>
    <t>MD</t>
  </si>
  <si>
    <t>173.64.108.151</t>
  </si>
  <si>
    <t>463577***7214</t>
  </si>
  <si>
    <t>BANK OF AMERICA, N.A.</t>
  </si>
  <si>
    <t>CHARGEVERIFY (50136400): passed</t>
  </si>
  <si>
    <t>isawitdie86@yahoo.com</t>
  </si>
  <si>
    <t>Shaun Castro</t>
  </si>
  <si>
    <t>IL</t>
  </si>
  <si>
    <t>71.194.30.35</t>
  </si>
  <si>
    <t>431307***0384</t>
  </si>
  <si>
    <t>FIA CARD SERVICES, N.A.</t>
  </si>
  <si>
    <t>CHARGEVERIFY (50134380): passed</t>
  </si>
  <si>
    <t>CHARGEVERIFY (50133829): passed</t>
  </si>
  <si>
    <t>CHARGEVERIFY (50129945): passed</t>
  </si>
  <si>
    <t>SPORTS4PLAY@ATT.NET</t>
  </si>
  <si>
    <t>Denise Sisk</t>
  </si>
  <si>
    <t>SC</t>
  </si>
  <si>
    <t>70.193.70.84</t>
  </si>
  <si>
    <t>402944***7278</t>
  </si>
  <si>
    <t>TD BANK, N.A.</t>
  </si>
  <si>
    <t>CHARGEVERIFY (50126012): passed</t>
  </si>
  <si>
    <t>CHARGEVERIFY (50125435): passed</t>
  </si>
  <si>
    <t>TEDJACKSON09@YAHOO.COM</t>
  </si>
  <si>
    <t>Ted Jackson</t>
  </si>
  <si>
    <t>PA</t>
  </si>
  <si>
    <t>96.253.214.126</t>
  </si>
  <si>
    <t>422710***3869</t>
  </si>
  <si>
    <t>NBT BANK, N.A.</t>
  </si>
  <si>
    <t>CHARGEVERIFY (50121724): passed</t>
  </si>
  <si>
    <t>CHARGEVERIFY (50119720): passed</t>
  </si>
  <si>
    <t>hteresa3@gmail.com</t>
  </si>
  <si>
    <t>Teresa Harris</t>
  </si>
  <si>
    <t>50.79.87.169</t>
  </si>
  <si>
    <t>403995***0497</t>
  </si>
  <si>
    <t>METABANK</t>
  </si>
  <si>
    <t>CHARGEVERIFY (50074644): passed</t>
  </si>
  <si>
    <t>bethea_j@ymail.com</t>
  </si>
  <si>
    <t>Joseph Bethea</t>
  </si>
  <si>
    <t>NC</t>
  </si>
  <si>
    <t>108.250.185.155</t>
  </si>
  <si>
    <t>432680***9439</t>
  </si>
  <si>
    <t>CHAMPION C.U.</t>
  </si>
  <si>
    <t>CHARGEVERIFY (50070633): passed</t>
  </si>
  <si>
    <t>emiller14@triad.rr.com</t>
  </si>
  <si>
    <t>Elmer Miller</t>
  </si>
  <si>
    <t>24.211.174.203</t>
  </si>
  <si>
    <t>423882***5922</t>
  </si>
  <si>
    <t>SUMMIT C.U.</t>
  </si>
  <si>
    <t>CHARGEVERIFY (50052483): passed</t>
  </si>
  <si>
    <t>CHARGEVERIFY (50031178): passed</t>
  </si>
  <si>
    <t>CHARGEVERIFY (50027174): passed</t>
  </si>
  <si>
    <t>108.207.54.197</t>
  </si>
  <si>
    <t>CHARGEVERIFY (50002168): passed</t>
  </si>
  <si>
    <t>456534***1797</t>
  </si>
  <si>
    <t>CHARGEVERIFY (49997794): passed</t>
  </si>
  <si>
    <t>sawalker109@live.com</t>
  </si>
  <si>
    <t>Sequoyah Walker</t>
  </si>
  <si>
    <t>50.140.95.252</t>
  </si>
  <si>
    <t>474476***7718</t>
  </si>
  <si>
    <t>CHARGEVERIFY (49996906): passed</t>
  </si>
  <si>
    <t>209.50.156.162</t>
  </si>
  <si>
    <t>CHARGEVERIFY (49985536): passed</t>
  </si>
  <si>
    <t>CHARGEVERIFY (49977701): passed</t>
  </si>
  <si>
    <t>174.235.66.214</t>
  </si>
  <si>
    <t>CHARGEVERIFY (49962397): passed</t>
  </si>
  <si>
    <t>CHARGEVERIFY (49950357): passed</t>
  </si>
  <si>
    <t>98.111.16.4</t>
  </si>
  <si>
    <t>CHARGEVERIFY (49944228): passed</t>
  </si>
  <si>
    <t>stefanrakonjac@yahoo.com</t>
  </si>
  <si>
    <t>Stefan Rakonjac</t>
  </si>
  <si>
    <t>76.91.229.40</t>
  </si>
  <si>
    <t>481582***3177</t>
  </si>
  <si>
    <t>CHARGEVERIFY (49934244): passed</t>
  </si>
  <si>
    <t>kadekearney@yahoo.com</t>
  </si>
  <si>
    <t>Matthew Kearney</t>
  </si>
  <si>
    <t>MN</t>
  </si>
  <si>
    <t>76.164.59.138</t>
  </si>
  <si>
    <t>432371***2932</t>
  </si>
  <si>
    <t>CHARGEVERIFY (49918475): passed</t>
  </si>
  <si>
    <t>tsufisher09@yahoo.com</t>
  </si>
  <si>
    <t>Stephen Fisher</t>
  </si>
  <si>
    <t>TX</t>
  </si>
  <si>
    <t>173.174.213.35</t>
  </si>
  <si>
    <t>467010***1160</t>
  </si>
  <si>
    <t>INTERNATIONAL BANK OF COMMERCE</t>
  </si>
  <si>
    <t>CHARGEVERIFY (49908576): passed</t>
  </si>
  <si>
    <t>robertbholmes@gmail.com</t>
  </si>
  <si>
    <t>Robert Holmes</t>
  </si>
  <si>
    <t>173.189.51.70</t>
  </si>
  <si>
    <t>482851***3011</t>
  </si>
  <si>
    <t>WACHOVIA BANK, N.A.</t>
  </si>
  <si>
    <t>CHARGEVERIFY (49906400): passed</t>
  </si>
  <si>
    <t>CHARGEVERIFY (49905050): passed</t>
  </si>
  <si>
    <t>CHARGEVERIFY (49904057): passed</t>
  </si>
  <si>
    <t>CHARGEVERIFY (49901453): passed</t>
  </si>
  <si>
    <t>184.76.223.219</t>
  </si>
  <si>
    <t>CHARGEVERIFY (49897145): passed</t>
  </si>
  <si>
    <t>kerrypope52@gmail.com</t>
  </si>
  <si>
    <t>Kerry Pope</t>
  </si>
  <si>
    <t>IA</t>
  </si>
  <si>
    <t>24.116.57.183</t>
  </si>
  <si>
    <t>430157***2263</t>
  </si>
  <si>
    <t>IOWA CORPORATE CENTRAL C.U.</t>
  </si>
  <si>
    <t>CHARGEVERIFY (49860949): passed</t>
  </si>
  <si>
    <t>957740eb-696d-41cf-ba3f-c816fcde6a20</t>
  </si>
  <si>
    <t>1508</t>
  </si>
  <si>
    <t>639032951</t>
  </si>
  <si>
    <t>APPROVED</t>
  </si>
  <si>
    <t>PS-approved_approved</t>
  </si>
  <si>
    <t>PAYMENTSERV.COM +18772924507</t>
  </si>
  <si>
    <t>2013-02-26 14:46:07</t>
  </si>
  <si>
    <t>2013-02-26 02:46:14</t>
  </si>
  <si>
    <t>2013-02-26 02:46:21</t>
  </si>
  <si>
    <t>166.205.49.141</t>
  </si>
  <si>
    <t>Matthew</t>
  </si>
  <si>
    <t>Guy</t>
  </si>
  <si>
    <t>28269</t>
  </si>
  <si>
    <t>CHARLOTTE</t>
  </si>
  <si>
    <t>US</t>
  </si>
  <si>
    <t>MARBURY RD</t>
  </si>
  <si>
    <t>[QPPMT16]SBO_PS_Live_Visa</t>
  </si>
  <si>
    <t>(QPPMT16)PaymentServ_Live_VS</t>
  </si>
  <si>
    <t>6</t>
  </si>
  <si>
    <t>2015</t>
  </si>
  <si>
    <t>Matthew Guy</t>
  </si>
  <si>
    <t>************2015</t>
  </si>
  <si>
    <t>www.sportsbettingonline.ag</t>
  </si>
  <si>
    <t>e4ff5584-e042-442b-ac2e-80b275613f23</t>
  </si>
  <si>
    <t>1565</t>
  </si>
  <si>
    <t>103073540382</t>
  </si>
  <si>
    <t>QW-01-0-Payment Success</t>
  </si>
  <si>
    <t>FaithGellalo co.,LTD</t>
  </si>
  <si>
    <t>2013-03-01 16:01:55</t>
  </si>
  <si>
    <t>2013-03-02 12:02:02</t>
  </si>
  <si>
    <t>2013-03-01 04:02:24</t>
  </si>
  <si>
    <t>71.20.197.33</t>
  </si>
  <si>
    <t>[QPPMT18]SBO_QW_Live_Visa</t>
  </si>
  <si>
    <t>(QPPMT18)QWIPI_Visa_Live</t>
  </si>
  <si>
    <t>10</t>
  </si>
  <si>
    <t>2016</t>
  </si>
  <si>
    <t>************2405</t>
  </si>
  <si>
    <t>fc1d2d53-a4f8-4a4d-8cc4-a852953f99c1</t>
  </si>
  <si>
    <t>1538</t>
  </si>
  <si>
    <t>103073504848</t>
  </si>
  <si>
    <t>WII-ESHOP-COME S.R.O</t>
  </si>
  <si>
    <t>2013-02-27 23:13:53</t>
  </si>
  <si>
    <t>2013-02-28 07:13:59</t>
  </si>
  <si>
    <t>2013-02-27 11:14:13</t>
  </si>
  <si>
    <t>166.205.66.193</t>
  </si>
  <si>
    <t>dd3f71a2-f8be-40fd-bb28-64d6472165c6</t>
  </si>
  <si>
    <t>1533</t>
  </si>
  <si>
    <t>103073498111</t>
  </si>
  <si>
    <t>2013-02-27 17:45:11</t>
  </si>
  <si>
    <t>2013-02-28 01:45:18</t>
  </si>
  <si>
    <t>2013-02-27 05:45:31</t>
  </si>
  <si>
    <t>166.205.50.47</t>
  </si>
  <si>
    <t>1898894f-a5d3-4d1d-b0e3-63fb291b57b7</t>
  </si>
  <si>
    <t>1524</t>
  </si>
  <si>
    <t>103073485303</t>
  </si>
  <si>
    <t>2013-02-27 00:02:29</t>
  </si>
  <si>
    <t>2013-02-27 08:02:36</t>
  </si>
  <si>
    <t>2013-02-27 12:02:43</t>
  </si>
  <si>
    <t>f1b6b5dd-aca4-4077-8818-88ecd53d5003</t>
  </si>
  <si>
    <t>1509</t>
  </si>
  <si>
    <t>103073477936</t>
  </si>
  <si>
    <t>2013-02-26 18:07:48</t>
  </si>
  <si>
    <t>2013-02-27 02:07:55</t>
  </si>
  <si>
    <t>2013-02-26 06:08:03</t>
  </si>
  <si>
    <t>SBO5854</t>
  </si>
  <si>
    <t>DNP</t>
  </si>
  <si>
    <t>Y</t>
  </si>
  <si>
    <t>CR</t>
  </si>
  <si>
    <t>INTERNET</t>
  </si>
  <si>
    <t>SBO6111</t>
  </si>
  <si>
    <t>SBO6160</t>
  </si>
  <si>
    <t>SBO6685</t>
  </si>
  <si>
    <t>OWI1018</t>
  </si>
  <si>
    <t>SBO7325</t>
  </si>
  <si>
    <t>SBO7324</t>
  </si>
  <si>
    <t>SBORYAN</t>
  </si>
  <si>
    <t>SBO6046</t>
  </si>
  <si>
    <t>SBO5727</t>
  </si>
  <si>
    <t>SBOTED</t>
  </si>
  <si>
    <t>SBO7103</t>
  </si>
  <si>
    <t>SBO6221</t>
  </si>
  <si>
    <t>SBO7052</t>
  </si>
  <si>
    <t>SBOMG8438</t>
  </si>
  <si>
    <t>QP1</t>
  </si>
  <si>
    <t>SBO6474</t>
  </si>
  <si>
    <t>SBO7008</t>
  </si>
  <si>
    <t>SBO6182</t>
  </si>
  <si>
    <t>SBO7163</t>
  </si>
  <si>
    <t>SBO7186</t>
  </si>
  <si>
    <t>QP</t>
  </si>
  <si>
    <t>SBO7153</t>
  </si>
  <si>
    <t>SBO DNP</t>
  </si>
  <si>
    <t>SBO QP</t>
  </si>
  <si>
    <t>QP-1508</t>
  </si>
  <si>
    <t>QP-1508 Reup VISA</t>
  </si>
  <si>
    <t>SBO QP1</t>
  </si>
  <si>
    <t>QP1-1509</t>
  </si>
  <si>
    <t>QP1-1509 Reup VISA</t>
  </si>
  <si>
    <t>QP1-1524</t>
  </si>
  <si>
    <t>QP1-1524 Reup VISA</t>
  </si>
  <si>
    <t>QP1-1533</t>
  </si>
  <si>
    <t>QP1-1533 Reup VISA</t>
  </si>
  <si>
    <t>QP1-1538</t>
  </si>
  <si>
    <t>QP1-1538 Reup VISA</t>
  </si>
  <si>
    <t>QP1-1565</t>
  </si>
  <si>
    <t>QP1-1565 Reup VISA</t>
  </si>
  <si>
    <t>DF</t>
  </si>
  <si>
    <t>DGSDNP</t>
  </si>
  <si>
    <t>DGSQP</t>
  </si>
  <si>
    <t>DGSQP1</t>
  </si>
  <si>
    <t>DNP-1499</t>
  </si>
  <si>
    <t>DNP-1499 Reup VISA</t>
  </si>
  <si>
    <t>DNP-1507</t>
  </si>
  <si>
    <t>DNP-1507 Reup VISA</t>
  </si>
  <si>
    <t>DNP-1511</t>
  </si>
  <si>
    <t>DNP-1511 Reup VISA</t>
  </si>
  <si>
    <t>DNP-1514</t>
  </si>
  <si>
    <t>DNP-1514 Reup VISA</t>
  </si>
  <si>
    <t>DNP-1517</t>
  </si>
  <si>
    <t>DNP-1517 Reup VISA</t>
  </si>
  <si>
    <t>DNP-1520</t>
  </si>
  <si>
    <t>DNP-1520 Reup VISA</t>
  </si>
  <si>
    <t>DNP-1523</t>
  </si>
  <si>
    <t>DNP-1523 Reup VISA</t>
  </si>
  <si>
    <t>DNP-1526</t>
  </si>
  <si>
    <t>DNP-1526 Reup VISA</t>
  </si>
  <si>
    <t>DNP-1532</t>
  </si>
  <si>
    <t>DNP-1532 Reup VISA</t>
  </si>
  <si>
    <t>DNP-1535</t>
  </si>
  <si>
    <t>DNP-1535 Reup VISA</t>
  </si>
  <si>
    <t>DNP-1537</t>
  </si>
  <si>
    <t>DNP-1537 Reup VISA</t>
  </si>
  <si>
    <t>DNP-1542</t>
  </si>
  <si>
    <t>DNP-1542 Reup VISA</t>
  </si>
  <si>
    <t>DNP-1548</t>
  </si>
  <si>
    <t>DNP-1548 Reup VISA</t>
  </si>
  <si>
    <t>DNP-1552</t>
  </si>
  <si>
    <t>DNP-1552 Reup VISA</t>
  </si>
  <si>
    <t>DNP-1558</t>
  </si>
  <si>
    <t>DNP-1558 Reup VISA</t>
  </si>
  <si>
    <t>DNP-1560</t>
  </si>
  <si>
    <t>DNP-1560 Reup VISA</t>
  </si>
  <si>
    <t>DNP-1562</t>
  </si>
  <si>
    <t>DNP-1562 Reup VISA</t>
  </si>
  <si>
    <t>DNP-1567</t>
  </si>
  <si>
    <t>DNP-1567 Reup VISA</t>
  </si>
  <si>
    <t>DNP-1569</t>
  </si>
  <si>
    <t>DNP-1569 Reup VISA</t>
  </si>
  <si>
    <t>DNP-1576</t>
  </si>
  <si>
    <t>DNP-1576 Reup VISA</t>
  </si>
  <si>
    <t>DNP-1588</t>
  </si>
  <si>
    <t>DNP-1588 Reup VISA</t>
  </si>
  <si>
    <t>DNP-1591</t>
  </si>
  <si>
    <t>DNP-1591 Reup VISA</t>
  </si>
  <si>
    <t>DNP-1593</t>
  </si>
  <si>
    <t>DNP-1593 Reup VISA</t>
  </si>
  <si>
    <t>DNP-1595</t>
  </si>
  <si>
    <t>DNP-1595 Reup VISA</t>
  </si>
  <si>
    <t>DNP-1598</t>
  </si>
  <si>
    <t>DNP-1598 Reup VISA</t>
  </si>
  <si>
    <t>DNP-1600</t>
  </si>
  <si>
    <t>DNP-1600 Reup VISA</t>
  </si>
  <si>
    <t>DNP-1603</t>
  </si>
  <si>
    <t>DNP-1603 Reup VISA</t>
  </si>
  <si>
    <t>DNP-1608</t>
  </si>
  <si>
    <t>DNP-1608 Reup VISA</t>
  </si>
  <si>
    <t>DNP-1610</t>
  </si>
  <si>
    <t>DNP-1610 Reup VISA</t>
  </si>
  <si>
    <t>DNP-1616</t>
  </si>
  <si>
    <t>DNP-1616 Reup VISA</t>
  </si>
  <si>
    <t>DNP-1618</t>
  </si>
  <si>
    <t>DNP-1618 Reup VISA</t>
  </si>
  <si>
    <t>DNP-1620</t>
  </si>
  <si>
    <t>DNP-1620 Reup VISA</t>
  </si>
  <si>
    <t>DNP-1630</t>
  </si>
  <si>
    <t>DNP-1630 Reup VISA</t>
  </si>
  <si>
    <t>DNP-1640</t>
  </si>
  <si>
    <t>DNP-1640 Reup VISA</t>
  </si>
  <si>
    <t>DNP-1646</t>
  </si>
  <si>
    <t>DNP-1646 Reup VISA</t>
  </si>
  <si>
    <t>DNP-1648</t>
  </si>
  <si>
    <t>DNP-1648 Reup VISA</t>
  </si>
  <si>
    <t>DNP-1652</t>
  </si>
  <si>
    <t>DNP-1652 Reup VISA</t>
  </si>
  <si>
    <t>DNP-1654</t>
  </si>
  <si>
    <t>DNP-1654 Reup VISA</t>
  </si>
  <si>
    <t>DNP-1656</t>
  </si>
  <si>
    <t>DNP-1656 Reup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</si>
</sst>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,###.00"/>
    <numFmt numFmtId="165" formatCode="yyyy\-mm\-dd\ hh:mm:ss"/>
    <numFmt numFmtId="166" formatCode="mmm&quot;-&quot;dd&quot;-&quot;yyyy"/>
  </numFmts>
  <fonts count="6" x14ac:knownFonts="1">
    <font>
      <sz val="11"/>
      <color theme="1"/>
      <name val="Calibri"/>
      <family val="2"/>
      <scheme val="minor"/>
    </font>
    <font>
      <sz val="8"/>
      <color indexed="8"/>
      <name val="Tahoma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.0500000000000007"/>
      <color indexed="8"/>
      <name val="Tahoma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23">
    <xf numFmtId="0" fontId="0" fillId="0" borderId="0" xfId="0"/>
    <xf numFmtId="22" fontId="0" fillId="0" borderId="0" xfId="0" applyNumberFormat="1"/>
    <xf numFmtId="0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 applyProtection="1">
      <alignment vertical="top"/>
      <protection locked="0"/>
    </xf>
    <xf numFmtId="165" fontId="0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0" fontId="0" fillId="0" borderId="0" xfId="0" applyNumberFormat="1" applyFill="1" applyBorder="1" applyAlignment="1" applyProtection="1"/>
    <xf numFmtId="3" fontId="1" fillId="0" borderId="0" xfId="0" applyNumberFormat="1" applyFont="1" applyAlignment="1">
      <alignment horizontal="right" vertical="center"/>
    </xf>
    <xf numFmtId="3" fontId="0" fillId="0" borderId="0" xfId="0" applyNumberFormat="1"/>
    <xf numFmtId="0" fontId="3" fillId="3" borderId="0" xfId="2"/>
    <xf numFmtId="0" fontId="3" fillId="3" borderId="0" xfId="2" applyNumberFormat="1" applyBorder="1" applyAlignment="1" applyProtection="1">
      <alignment horizontal="right" vertical="top"/>
      <protection locked="0"/>
    </xf>
    <xf numFmtId="164" fontId="3" fillId="3" borderId="0" xfId="2" applyNumberFormat="1" applyBorder="1" applyAlignment="1" applyProtection="1">
      <alignment vertical="top"/>
      <protection locked="0"/>
    </xf>
    <xf numFmtId="0" fontId="4" fillId="4" borderId="0" xfId="3"/>
    <xf numFmtId="0" fontId="2" fillId="2" borderId="0" xfId="1"/>
    <xf numFmtId="0" fontId="4" fillId="4" borderId="0" xfId="3" applyAlignment="1">
      <alignment vertical="center"/>
    </xf>
    <xf numFmtId="3" fontId="4" fillId="4" borderId="0" xfId="3" applyNumberFormat="1" applyAlignment="1">
      <alignment horizontal="right" vertical="center"/>
    </xf>
    <xf numFmtId="0" fontId="3" fillId="3" borderId="0" xfId="2" applyAlignment="1">
      <alignment vertical="center"/>
    </xf>
    <xf numFmtId="3" fontId="3" fillId="3" borderId="0" xfId="2" applyNumberFormat="1" applyAlignment="1">
      <alignment horizontal="right" vertical="center"/>
    </xf>
    <xf numFmtId="0" fontId="5" fillId="0" borderId="0" xfId="0" applyFont="1" applyAlignment="1">
      <alignment vertical="center"/>
    </xf>
    <xf numFmtId="166" fontId="5" fillId="0" borderId="0" xfId="0" applyNumberFormat="1" applyFont="1" applyAlignment="1">
      <alignment vertical="center"/>
    </xf>
    <xf numFmtId="3" fontId="5" fillId="0" borderId="0" xfId="0" applyNumberFormat="1" applyFont="1" applyAlignment="1">
      <alignment horizontal="right" vertical="center"/>
    </xf>
    <xf numFmtId="3" fontId="3" fillId="3" borderId="0" xfId="2" applyNumberForma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opLeftCell="A12" workbookViewId="0">
      <selection activeCell="P40" sqref="P40"/>
    </sheetView>
  </sheetViews>
  <sheetFormatPr defaultRowHeight="15" x14ac:dyDescent="0.25"/>
  <sheetData>
    <row r="1" spans="1:20" x14ac:dyDescent="0.25">
      <c r="A1">
        <v>65599520</v>
      </c>
      <c r="B1" s="1">
        <v>41336.961192129631</v>
      </c>
      <c r="C1" t="s">
        <v>0</v>
      </c>
      <c r="D1" t="s">
        <v>1</v>
      </c>
      <c r="E1" t="s">
        <v>2</v>
      </c>
      <c r="F1" t="s">
        <v>3</v>
      </c>
      <c r="G1">
        <v>7708266754</v>
      </c>
      <c r="H1">
        <v>26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>
        <v>102</v>
      </c>
      <c r="O1">
        <v>0.95</v>
      </c>
      <c r="P1" t="s">
        <v>9</v>
      </c>
      <c r="Q1" t="s">
        <v>10</v>
      </c>
      <c r="R1">
        <v>1652</v>
      </c>
      <c r="S1" t="s">
        <v>11</v>
      </c>
      <c r="T1">
        <v>0</v>
      </c>
    </row>
    <row r="2" spans="1:20" x14ac:dyDescent="0.25">
      <c r="A2">
        <v>65598959</v>
      </c>
      <c r="B2" s="1">
        <v>41336.788437499999</v>
      </c>
      <c r="C2" t="s">
        <v>12</v>
      </c>
      <c r="D2" t="s">
        <v>13</v>
      </c>
      <c r="E2" t="s">
        <v>14</v>
      </c>
      <c r="F2" t="s">
        <v>3</v>
      </c>
      <c r="G2">
        <v>8183269901</v>
      </c>
      <c r="H2">
        <v>34</v>
      </c>
      <c r="I2" t="s">
        <v>15</v>
      </c>
      <c r="J2" t="s">
        <v>16</v>
      </c>
      <c r="K2" t="s">
        <v>6</v>
      </c>
      <c r="L2" t="s">
        <v>7</v>
      </c>
      <c r="M2" t="s">
        <v>17</v>
      </c>
      <c r="N2">
        <v>20</v>
      </c>
      <c r="O2">
        <v>0.95</v>
      </c>
      <c r="P2" t="s">
        <v>9</v>
      </c>
      <c r="Q2" t="s">
        <v>18</v>
      </c>
      <c r="R2">
        <v>1648</v>
      </c>
      <c r="S2" t="s">
        <v>11</v>
      </c>
      <c r="T2">
        <v>0</v>
      </c>
    </row>
    <row r="3" spans="1:20" x14ac:dyDescent="0.25">
      <c r="A3">
        <v>65598846</v>
      </c>
      <c r="B3" s="1">
        <v>41336.746828703705</v>
      </c>
      <c r="C3" t="s">
        <v>19</v>
      </c>
      <c r="D3" t="s">
        <v>20</v>
      </c>
      <c r="E3" t="s">
        <v>21</v>
      </c>
      <c r="F3" t="s">
        <v>3</v>
      </c>
      <c r="G3">
        <v>3865622190</v>
      </c>
      <c r="H3">
        <v>37</v>
      </c>
      <c r="I3" t="s">
        <v>22</v>
      </c>
      <c r="J3" t="s">
        <v>23</v>
      </c>
      <c r="K3" t="s">
        <v>6</v>
      </c>
      <c r="L3" t="s">
        <v>7</v>
      </c>
      <c r="M3" t="s">
        <v>24</v>
      </c>
      <c r="N3">
        <v>74</v>
      </c>
      <c r="O3">
        <v>0.95</v>
      </c>
      <c r="P3" t="s">
        <v>9</v>
      </c>
      <c r="Q3" t="s">
        <v>25</v>
      </c>
      <c r="R3">
        <v>1646</v>
      </c>
      <c r="S3" t="s">
        <v>11</v>
      </c>
      <c r="T3">
        <v>0</v>
      </c>
    </row>
    <row r="4" spans="1:20" x14ac:dyDescent="0.25">
      <c r="A4">
        <v>65598624</v>
      </c>
      <c r="B4" s="1">
        <v>41336.686192129629</v>
      </c>
      <c r="C4" t="s">
        <v>26</v>
      </c>
      <c r="D4" t="s">
        <v>27</v>
      </c>
      <c r="E4" t="s">
        <v>28</v>
      </c>
      <c r="F4" t="s">
        <v>3</v>
      </c>
      <c r="G4">
        <v>7033385286</v>
      </c>
      <c r="H4">
        <v>27</v>
      </c>
      <c r="I4" t="s">
        <v>29</v>
      </c>
      <c r="J4" t="s">
        <v>30</v>
      </c>
      <c r="K4" t="s">
        <v>6</v>
      </c>
      <c r="L4" t="s">
        <v>31</v>
      </c>
      <c r="M4" t="s">
        <v>32</v>
      </c>
      <c r="N4">
        <v>60</v>
      </c>
      <c r="O4">
        <v>0.95</v>
      </c>
      <c r="P4" t="s">
        <v>9</v>
      </c>
      <c r="Q4" t="s">
        <v>33</v>
      </c>
      <c r="R4">
        <v>1640</v>
      </c>
      <c r="S4" t="s">
        <v>11</v>
      </c>
      <c r="T4">
        <v>0</v>
      </c>
    </row>
    <row r="5" spans="1:20" x14ac:dyDescent="0.25">
      <c r="A5">
        <v>65597911</v>
      </c>
      <c r="B5" s="1">
        <v>41336.179791666669</v>
      </c>
      <c r="C5" t="s">
        <v>34</v>
      </c>
      <c r="D5" t="s">
        <v>35</v>
      </c>
      <c r="E5" t="s">
        <v>36</v>
      </c>
      <c r="F5" t="s">
        <v>3</v>
      </c>
      <c r="G5">
        <v>6517951893</v>
      </c>
      <c r="H5">
        <v>20</v>
      </c>
      <c r="I5" t="s">
        <v>37</v>
      </c>
      <c r="J5" t="s">
        <v>38</v>
      </c>
      <c r="K5" t="s">
        <v>6</v>
      </c>
      <c r="L5" t="s">
        <v>31</v>
      </c>
      <c r="M5" t="s">
        <v>39</v>
      </c>
      <c r="N5">
        <v>25</v>
      </c>
      <c r="O5">
        <v>0.95</v>
      </c>
      <c r="P5" t="s">
        <v>9</v>
      </c>
      <c r="Q5" t="s">
        <v>40</v>
      </c>
      <c r="R5">
        <v>1630</v>
      </c>
      <c r="S5" t="s">
        <v>11</v>
      </c>
      <c r="T5">
        <v>0</v>
      </c>
    </row>
    <row r="6" spans="1:20" x14ac:dyDescent="0.25">
      <c r="A6">
        <v>65597421</v>
      </c>
      <c r="B6" s="1">
        <v>41336.002881944441</v>
      </c>
      <c r="C6" t="s">
        <v>41</v>
      </c>
      <c r="D6" t="s">
        <v>42</v>
      </c>
      <c r="E6" t="s">
        <v>43</v>
      </c>
      <c r="F6" t="s">
        <v>3</v>
      </c>
      <c r="G6">
        <v>6092425179</v>
      </c>
      <c r="H6">
        <v>49</v>
      </c>
      <c r="I6" t="s">
        <v>44</v>
      </c>
      <c r="J6" t="s">
        <v>45</v>
      </c>
      <c r="K6" t="s">
        <v>6</v>
      </c>
      <c r="L6" t="s">
        <v>7</v>
      </c>
      <c r="M6" t="s">
        <v>46</v>
      </c>
      <c r="N6">
        <v>50</v>
      </c>
      <c r="O6">
        <v>0.95</v>
      </c>
      <c r="P6" t="s">
        <v>9</v>
      </c>
      <c r="Q6" t="s">
        <v>47</v>
      </c>
      <c r="R6">
        <v>1620</v>
      </c>
      <c r="S6" t="s">
        <v>11</v>
      </c>
      <c r="T6">
        <v>0</v>
      </c>
    </row>
    <row r="7" spans="1:20" x14ac:dyDescent="0.25">
      <c r="A7">
        <v>65597340</v>
      </c>
      <c r="B7" s="1">
        <v>41335.982662037037</v>
      </c>
      <c r="C7" t="s">
        <v>48</v>
      </c>
      <c r="D7" t="s">
        <v>49</v>
      </c>
      <c r="E7" t="s">
        <v>14</v>
      </c>
      <c r="F7" t="s">
        <v>3</v>
      </c>
      <c r="G7">
        <v>8053412012</v>
      </c>
      <c r="H7">
        <v>45</v>
      </c>
      <c r="I7" t="s">
        <v>50</v>
      </c>
      <c r="J7" t="s">
        <v>51</v>
      </c>
      <c r="K7" t="s">
        <v>52</v>
      </c>
      <c r="L7" t="s">
        <v>52</v>
      </c>
      <c r="N7">
        <v>150</v>
      </c>
      <c r="O7">
        <v>0.95</v>
      </c>
      <c r="P7" t="s">
        <v>9</v>
      </c>
      <c r="Q7" t="s">
        <v>53</v>
      </c>
      <c r="R7">
        <v>1618</v>
      </c>
      <c r="S7" t="s">
        <v>11</v>
      </c>
      <c r="T7">
        <v>0</v>
      </c>
    </row>
    <row r="8" spans="1:20" x14ac:dyDescent="0.25">
      <c r="A8">
        <v>65597025</v>
      </c>
      <c r="B8" s="1">
        <v>41335.89502314815</v>
      </c>
      <c r="C8" t="s">
        <v>54</v>
      </c>
      <c r="D8" t="s">
        <v>55</v>
      </c>
      <c r="E8" t="s">
        <v>56</v>
      </c>
      <c r="F8" t="s">
        <v>3</v>
      </c>
      <c r="G8">
        <v>4434139481</v>
      </c>
      <c r="H8">
        <v>41</v>
      </c>
      <c r="I8" t="s">
        <v>57</v>
      </c>
      <c r="J8" t="s">
        <v>58</v>
      </c>
      <c r="K8" t="s">
        <v>6</v>
      </c>
      <c r="L8" t="s">
        <v>7</v>
      </c>
      <c r="M8" t="s">
        <v>59</v>
      </c>
      <c r="N8">
        <v>50</v>
      </c>
      <c r="O8">
        <v>0.95</v>
      </c>
      <c r="P8" t="s">
        <v>9</v>
      </c>
      <c r="Q8" t="s">
        <v>60</v>
      </c>
      <c r="R8">
        <v>1616</v>
      </c>
      <c r="S8" t="s">
        <v>11</v>
      </c>
      <c r="T8">
        <v>0</v>
      </c>
    </row>
    <row r="9" spans="1:20" x14ac:dyDescent="0.25">
      <c r="A9">
        <v>65596924</v>
      </c>
      <c r="B9" s="1">
        <v>41335.864282407405</v>
      </c>
      <c r="C9" t="s">
        <v>61</v>
      </c>
      <c r="D9" t="s">
        <v>62</v>
      </c>
      <c r="E9" t="s">
        <v>63</v>
      </c>
      <c r="F9" t="s">
        <v>3</v>
      </c>
      <c r="G9">
        <v>8152742666</v>
      </c>
      <c r="H9">
        <v>26</v>
      </c>
      <c r="I9" t="s">
        <v>64</v>
      </c>
      <c r="J9" t="s">
        <v>65</v>
      </c>
      <c r="K9" t="s">
        <v>6</v>
      </c>
      <c r="L9" t="s">
        <v>31</v>
      </c>
      <c r="M9" t="s">
        <v>66</v>
      </c>
      <c r="N9">
        <v>50</v>
      </c>
      <c r="O9">
        <v>0.95</v>
      </c>
      <c r="P9" t="s">
        <v>9</v>
      </c>
      <c r="Q9" t="s">
        <v>67</v>
      </c>
      <c r="R9">
        <v>1610</v>
      </c>
      <c r="S9" t="s">
        <v>11</v>
      </c>
      <c r="T9">
        <v>0</v>
      </c>
    </row>
    <row r="10" spans="1:20" x14ac:dyDescent="0.25">
      <c r="A10">
        <v>65596896</v>
      </c>
      <c r="B10" s="1">
        <v>41335.855787037035</v>
      </c>
      <c r="C10" t="s">
        <v>0</v>
      </c>
      <c r="D10" t="s">
        <v>1</v>
      </c>
      <c r="E10" t="s">
        <v>2</v>
      </c>
      <c r="F10" t="s">
        <v>3</v>
      </c>
      <c r="G10">
        <v>7708266754</v>
      </c>
      <c r="H10">
        <v>26</v>
      </c>
      <c r="I10" t="s">
        <v>4</v>
      </c>
      <c r="J10" t="s">
        <v>5</v>
      </c>
      <c r="K10" t="s">
        <v>6</v>
      </c>
      <c r="L10" t="s">
        <v>7</v>
      </c>
      <c r="M10" t="s">
        <v>8</v>
      </c>
      <c r="N10">
        <v>102</v>
      </c>
      <c r="O10">
        <v>0.95</v>
      </c>
      <c r="P10" t="s">
        <v>9</v>
      </c>
      <c r="Q10" t="s">
        <v>68</v>
      </c>
      <c r="R10">
        <v>1608</v>
      </c>
      <c r="S10" t="s">
        <v>11</v>
      </c>
      <c r="T10">
        <v>0</v>
      </c>
    </row>
    <row r="11" spans="1:20" x14ac:dyDescent="0.25">
      <c r="A11">
        <v>65596707</v>
      </c>
      <c r="B11" s="1">
        <v>41335.807627314818</v>
      </c>
      <c r="C11" t="s">
        <v>61</v>
      </c>
      <c r="D11" t="s">
        <v>62</v>
      </c>
      <c r="E11" t="s">
        <v>63</v>
      </c>
      <c r="F11" t="s">
        <v>3</v>
      </c>
      <c r="G11">
        <v>8152742666</v>
      </c>
      <c r="H11">
        <v>26</v>
      </c>
      <c r="I11" t="s">
        <v>64</v>
      </c>
      <c r="J11" t="s">
        <v>65</v>
      </c>
      <c r="K11" t="s">
        <v>6</v>
      </c>
      <c r="L11" t="s">
        <v>31</v>
      </c>
      <c r="M11" t="s">
        <v>66</v>
      </c>
      <c r="N11">
        <v>50</v>
      </c>
      <c r="O11">
        <v>0.95</v>
      </c>
      <c r="P11" t="s">
        <v>9</v>
      </c>
      <c r="Q11" t="s">
        <v>69</v>
      </c>
      <c r="R11">
        <v>1603</v>
      </c>
      <c r="S11" t="s">
        <v>11</v>
      </c>
      <c r="T11">
        <v>0</v>
      </c>
    </row>
    <row r="12" spans="1:20" x14ac:dyDescent="0.25">
      <c r="A12">
        <v>65596514</v>
      </c>
      <c r="B12" s="1">
        <v>41335.754155092596</v>
      </c>
      <c r="C12" t="s">
        <v>70</v>
      </c>
      <c r="D12" t="s">
        <v>71</v>
      </c>
      <c r="E12" t="s">
        <v>72</v>
      </c>
      <c r="F12" t="s">
        <v>3</v>
      </c>
      <c r="G12">
        <v>8643183447</v>
      </c>
      <c r="H12">
        <v>47</v>
      </c>
      <c r="I12" t="s">
        <v>73</v>
      </c>
      <c r="J12" t="s">
        <v>74</v>
      </c>
      <c r="K12" t="s">
        <v>6</v>
      </c>
      <c r="L12" t="s">
        <v>7</v>
      </c>
      <c r="M12" t="s">
        <v>75</v>
      </c>
      <c r="N12">
        <v>50</v>
      </c>
      <c r="O12">
        <v>0.95</v>
      </c>
      <c r="P12" t="s">
        <v>9</v>
      </c>
      <c r="Q12" t="s">
        <v>76</v>
      </c>
      <c r="R12">
        <v>1600</v>
      </c>
      <c r="S12" t="s">
        <v>11</v>
      </c>
      <c r="T12">
        <v>0</v>
      </c>
    </row>
    <row r="13" spans="1:20" x14ac:dyDescent="0.25">
      <c r="A13">
        <v>65596485</v>
      </c>
      <c r="B13" s="1">
        <v>41335.745497685188</v>
      </c>
      <c r="C13" t="s">
        <v>61</v>
      </c>
      <c r="D13" t="s">
        <v>62</v>
      </c>
      <c r="E13" t="s">
        <v>63</v>
      </c>
      <c r="F13" t="s">
        <v>3</v>
      </c>
      <c r="G13">
        <v>8152742666</v>
      </c>
      <c r="H13">
        <v>26</v>
      </c>
      <c r="I13" t="s">
        <v>64</v>
      </c>
      <c r="J13" t="s">
        <v>65</v>
      </c>
      <c r="K13" t="s">
        <v>6</v>
      </c>
      <c r="L13" t="s">
        <v>31</v>
      </c>
      <c r="M13" t="s">
        <v>66</v>
      </c>
      <c r="N13">
        <v>50</v>
      </c>
      <c r="O13">
        <v>0.95</v>
      </c>
      <c r="P13" t="s">
        <v>9</v>
      </c>
      <c r="Q13" t="s">
        <v>77</v>
      </c>
      <c r="R13">
        <v>1598</v>
      </c>
      <c r="S13" t="s">
        <v>11</v>
      </c>
      <c r="T13">
        <v>0</v>
      </c>
    </row>
    <row r="14" spans="1:20" x14ac:dyDescent="0.25">
      <c r="A14">
        <v>65596301</v>
      </c>
      <c r="B14" s="1">
        <v>41335.687881944446</v>
      </c>
      <c r="C14" t="s">
        <v>78</v>
      </c>
      <c r="D14" t="s">
        <v>79</v>
      </c>
      <c r="E14" t="s">
        <v>80</v>
      </c>
      <c r="F14" t="s">
        <v>3</v>
      </c>
      <c r="G14">
        <v>5705740409</v>
      </c>
      <c r="H14">
        <v>34</v>
      </c>
      <c r="I14" t="s">
        <v>81</v>
      </c>
      <c r="J14" t="s">
        <v>82</v>
      </c>
      <c r="K14" t="s">
        <v>6</v>
      </c>
      <c r="L14" t="s">
        <v>7</v>
      </c>
      <c r="M14" t="s">
        <v>83</v>
      </c>
      <c r="N14">
        <v>53</v>
      </c>
      <c r="O14">
        <v>0.95</v>
      </c>
      <c r="P14" t="s">
        <v>9</v>
      </c>
      <c r="Q14" t="s">
        <v>84</v>
      </c>
      <c r="R14">
        <v>1595</v>
      </c>
      <c r="S14" t="s">
        <v>11</v>
      </c>
      <c r="T14">
        <v>0</v>
      </c>
    </row>
    <row r="15" spans="1:20" x14ac:dyDescent="0.25">
      <c r="A15">
        <v>65596203</v>
      </c>
      <c r="B15" s="1">
        <v>41335.655405092592</v>
      </c>
      <c r="C15" t="s">
        <v>61</v>
      </c>
      <c r="D15" t="s">
        <v>62</v>
      </c>
      <c r="E15" t="s">
        <v>63</v>
      </c>
      <c r="F15" t="s">
        <v>3</v>
      </c>
      <c r="G15">
        <v>8152742666</v>
      </c>
      <c r="H15">
        <v>26</v>
      </c>
      <c r="I15" t="s">
        <v>64</v>
      </c>
      <c r="J15" t="s">
        <v>65</v>
      </c>
      <c r="K15" t="s">
        <v>6</v>
      </c>
      <c r="L15" t="s">
        <v>31</v>
      </c>
      <c r="M15" t="s">
        <v>66</v>
      </c>
      <c r="N15">
        <v>50</v>
      </c>
      <c r="O15">
        <v>0.95</v>
      </c>
      <c r="P15" t="s">
        <v>9</v>
      </c>
      <c r="Q15" t="s">
        <v>85</v>
      </c>
      <c r="R15">
        <v>1593</v>
      </c>
      <c r="S15" t="s">
        <v>11</v>
      </c>
      <c r="T15">
        <v>0</v>
      </c>
    </row>
    <row r="16" spans="1:20" x14ac:dyDescent="0.25">
      <c r="A16">
        <v>65594685</v>
      </c>
      <c r="B16" s="1">
        <v>41334.996342592596</v>
      </c>
      <c r="C16" t="s">
        <v>86</v>
      </c>
      <c r="D16" t="s">
        <v>87</v>
      </c>
      <c r="E16" t="s">
        <v>21</v>
      </c>
      <c r="F16" t="s">
        <v>3</v>
      </c>
      <c r="G16">
        <v>9046557579</v>
      </c>
      <c r="H16">
        <v>48</v>
      </c>
      <c r="I16" t="s">
        <v>88</v>
      </c>
      <c r="J16" t="s">
        <v>89</v>
      </c>
      <c r="K16" t="s">
        <v>6</v>
      </c>
      <c r="L16" t="s">
        <v>7</v>
      </c>
      <c r="M16" t="s">
        <v>90</v>
      </c>
      <c r="N16">
        <v>90</v>
      </c>
      <c r="O16">
        <v>0.95</v>
      </c>
      <c r="P16" t="s">
        <v>9</v>
      </c>
      <c r="Q16" t="s">
        <v>91</v>
      </c>
      <c r="R16">
        <v>1591</v>
      </c>
      <c r="S16" t="s">
        <v>11</v>
      </c>
      <c r="T16">
        <v>0</v>
      </c>
    </row>
    <row r="17" spans="1:20" x14ac:dyDescent="0.25">
      <c r="A17">
        <v>65594587</v>
      </c>
      <c r="B17" s="1">
        <v>41334.979745370372</v>
      </c>
      <c r="C17" t="s">
        <v>92</v>
      </c>
      <c r="D17" t="s">
        <v>93</v>
      </c>
      <c r="E17" t="s">
        <v>94</v>
      </c>
      <c r="F17" t="s">
        <v>3</v>
      </c>
      <c r="G17">
        <v>8282165664</v>
      </c>
      <c r="H17">
        <v>34</v>
      </c>
      <c r="I17" t="s">
        <v>95</v>
      </c>
      <c r="J17" t="s">
        <v>96</v>
      </c>
      <c r="K17" t="s">
        <v>6</v>
      </c>
      <c r="L17" t="s">
        <v>7</v>
      </c>
      <c r="M17" t="s">
        <v>97</v>
      </c>
      <c r="N17">
        <v>60</v>
      </c>
      <c r="O17">
        <v>0.95</v>
      </c>
      <c r="P17" t="s">
        <v>9</v>
      </c>
      <c r="Q17" t="s">
        <v>98</v>
      </c>
      <c r="R17">
        <v>1588</v>
      </c>
      <c r="S17" t="s">
        <v>11</v>
      </c>
      <c r="T17">
        <v>0</v>
      </c>
    </row>
    <row r="18" spans="1:20" x14ac:dyDescent="0.25">
      <c r="A18">
        <v>65594263</v>
      </c>
      <c r="B18" s="1">
        <v>41334.87537037037</v>
      </c>
      <c r="C18" t="s">
        <v>99</v>
      </c>
      <c r="D18" t="s">
        <v>100</v>
      </c>
      <c r="E18" t="s">
        <v>94</v>
      </c>
      <c r="F18" t="s">
        <v>3</v>
      </c>
      <c r="G18">
        <v>3363923761</v>
      </c>
      <c r="H18">
        <v>58</v>
      </c>
      <c r="I18" t="s">
        <v>101</v>
      </c>
      <c r="J18" t="s">
        <v>102</v>
      </c>
      <c r="K18" t="s">
        <v>6</v>
      </c>
      <c r="L18" t="s">
        <v>7</v>
      </c>
      <c r="M18" t="s">
        <v>103</v>
      </c>
      <c r="N18">
        <v>67</v>
      </c>
      <c r="O18">
        <v>0.95</v>
      </c>
      <c r="P18" t="s">
        <v>9</v>
      </c>
      <c r="Q18" t="s">
        <v>104</v>
      </c>
      <c r="R18">
        <v>1576</v>
      </c>
      <c r="S18" t="s">
        <v>11</v>
      </c>
      <c r="T18">
        <v>0</v>
      </c>
    </row>
    <row r="19" spans="1:20" x14ac:dyDescent="0.25">
      <c r="A19">
        <v>65593931</v>
      </c>
      <c r="B19" s="1">
        <v>41334.743888888886</v>
      </c>
      <c r="C19" t="s">
        <v>19</v>
      </c>
      <c r="D19" t="s">
        <v>20</v>
      </c>
      <c r="E19" t="s">
        <v>21</v>
      </c>
      <c r="F19" t="s">
        <v>3</v>
      </c>
      <c r="G19">
        <v>3865622190</v>
      </c>
      <c r="H19">
        <v>37</v>
      </c>
      <c r="I19" t="s">
        <v>22</v>
      </c>
      <c r="J19" t="s">
        <v>23</v>
      </c>
      <c r="K19" t="s">
        <v>6</v>
      </c>
      <c r="L19" t="s">
        <v>7</v>
      </c>
      <c r="M19" t="s">
        <v>24</v>
      </c>
      <c r="N19">
        <v>74</v>
      </c>
      <c r="O19">
        <v>0.95</v>
      </c>
      <c r="P19" t="s">
        <v>9</v>
      </c>
      <c r="Q19" t="s">
        <v>105</v>
      </c>
      <c r="R19">
        <v>1569</v>
      </c>
      <c r="S19" t="s">
        <v>11</v>
      </c>
      <c r="T19">
        <v>0</v>
      </c>
    </row>
    <row r="20" spans="1:20" x14ac:dyDescent="0.25">
      <c r="A20">
        <v>65593883</v>
      </c>
      <c r="B20" s="1">
        <v>41334.718263888892</v>
      </c>
      <c r="C20" t="s">
        <v>34</v>
      </c>
      <c r="D20" t="s">
        <v>35</v>
      </c>
      <c r="E20" t="s">
        <v>36</v>
      </c>
      <c r="F20" t="s">
        <v>3</v>
      </c>
      <c r="G20">
        <v>6517951893</v>
      </c>
      <c r="H20">
        <v>20</v>
      </c>
      <c r="I20" t="s">
        <v>37</v>
      </c>
      <c r="J20" t="s">
        <v>38</v>
      </c>
      <c r="K20" t="s">
        <v>6</v>
      </c>
      <c r="L20" t="s">
        <v>31</v>
      </c>
      <c r="M20" t="s">
        <v>39</v>
      </c>
      <c r="N20">
        <v>200</v>
      </c>
      <c r="O20">
        <v>0.95</v>
      </c>
      <c r="P20" t="s">
        <v>9</v>
      </c>
      <c r="Q20" t="s">
        <v>106</v>
      </c>
      <c r="R20">
        <v>1567</v>
      </c>
      <c r="S20" t="s">
        <v>11</v>
      </c>
      <c r="T20">
        <v>0</v>
      </c>
    </row>
    <row r="21" spans="1:20" x14ac:dyDescent="0.25">
      <c r="A21">
        <v>65592786</v>
      </c>
      <c r="B21" s="1">
        <v>41334.071099537039</v>
      </c>
      <c r="C21" t="s">
        <v>86</v>
      </c>
      <c r="D21" t="s">
        <v>87</v>
      </c>
      <c r="E21" t="s">
        <v>21</v>
      </c>
      <c r="F21" t="s">
        <v>3</v>
      </c>
      <c r="G21">
        <v>9046557579</v>
      </c>
      <c r="H21">
        <v>48</v>
      </c>
      <c r="I21" t="s">
        <v>107</v>
      </c>
      <c r="J21" t="s">
        <v>89</v>
      </c>
      <c r="K21" t="s">
        <v>6</v>
      </c>
      <c r="L21" t="s">
        <v>7</v>
      </c>
      <c r="M21" t="s">
        <v>90</v>
      </c>
      <c r="N21">
        <v>77</v>
      </c>
      <c r="O21">
        <v>0.95</v>
      </c>
      <c r="P21" t="s">
        <v>9</v>
      </c>
      <c r="Q21" t="s">
        <v>108</v>
      </c>
      <c r="R21">
        <v>1562</v>
      </c>
      <c r="S21" t="s">
        <v>11</v>
      </c>
      <c r="T21">
        <v>0</v>
      </c>
    </row>
    <row r="22" spans="1:20" x14ac:dyDescent="0.25">
      <c r="A22">
        <v>65592572</v>
      </c>
      <c r="B22" s="1">
        <v>41334.013020833336</v>
      </c>
      <c r="C22" t="s">
        <v>19</v>
      </c>
      <c r="D22" t="s">
        <v>20</v>
      </c>
      <c r="E22" t="s">
        <v>21</v>
      </c>
      <c r="F22" t="s">
        <v>3</v>
      </c>
      <c r="G22">
        <v>3865622190</v>
      </c>
      <c r="H22">
        <v>37</v>
      </c>
      <c r="I22" t="s">
        <v>22</v>
      </c>
      <c r="J22" t="s">
        <v>109</v>
      </c>
      <c r="K22" t="s">
        <v>6</v>
      </c>
      <c r="L22" t="s">
        <v>7</v>
      </c>
      <c r="M22" t="s">
        <v>24</v>
      </c>
      <c r="N22">
        <v>73</v>
      </c>
      <c r="O22">
        <v>0.95</v>
      </c>
      <c r="P22" t="s">
        <v>9</v>
      </c>
      <c r="Q22" t="s">
        <v>110</v>
      </c>
      <c r="R22">
        <v>1560</v>
      </c>
      <c r="S22" t="s">
        <v>11</v>
      </c>
      <c r="T22">
        <v>0</v>
      </c>
    </row>
    <row r="23" spans="1:20" x14ac:dyDescent="0.25">
      <c r="A23">
        <v>65592527</v>
      </c>
      <c r="B23" s="1">
        <v>41333.999791666669</v>
      </c>
      <c r="C23" t="s">
        <v>111</v>
      </c>
      <c r="D23" t="s">
        <v>112</v>
      </c>
      <c r="E23" t="s">
        <v>21</v>
      </c>
      <c r="F23" t="s">
        <v>3</v>
      </c>
      <c r="G23">
        <v>5612153055</v>
      </c>
      <c r="H23">
        <v>54</v>
      </c>
      <c r="I23" t="s">
        <v>113</v>
      </c>
      <c r="J23" t="s">
        <v>114</v>
      </c>
      <c r="K23" t="s">
        <v>6</v>
      </c>
      <c r="L23" t="s">
        <v>7</v>
      </c>
      <c r="M23" t="s">
        <v>59</v>
      </c>
      <c r="N23">
        <v>120</v>
      </c>
      <c r="O23">
        <v>0.95</v>
      </c>
      <c r="P23" t="s">
        <v>9</v>
      </c>
      <c r="Q23" t="s">
        <v>115</v>
      </c>
      <c r="R23">
        <v>1558</v>
      </c>
      <c r="S23" t="s">
        <v>11</v>
      </c>
      <c r="T23">
        <v>0</v>
      </c>
    </row>
    <row r="24" spans="1:20" x14ac:dyDescent="0.25">
      <c r="A24">
        <v>65591984</v>
      </c>
      <c r="B24" s="1">
        <v>41333.820219907408</v>
      </c>
      <c r="C24" t="s">
        <v>78</v>
      </c>
      <c r="D24" t="s">
        <v>79</v>
      </c>
      <c r="E24" t="s">
        <v>80</v>
      </c>
      <c r="F24" t="s">
        <v>3</v>
      </c>
      <c r="G24">
        <v>5705740409</v>
      </c>
      <c r="H24">
        <v>34</v>
      </c>
      <c r="I24" t="s">
        <v>116</v>
      </c>
      <c r="J24" t="s">
        <v>82</v>
      </c>
      <c r="K24" t="s">
        <v>6</v>
      </c>
      <c r="L24" t="s">
        <v>7</v>
      </c>
      <c r="M24" t="s">
        <v>83</v>
      </c>
      <c r="N24">
        <v>75</v>
      </c>
      <c r="O24">
        <v>0.95</v>
      </c>
      <c r="P24" t="s">
        <v>9</v>
      </c>
      <c r="Q24" t="s">
        <v>117</v>
      </c>
      <c r="R24">
        <v>1552</v>
      </c>
      <c r="S24" t="s">
        <v>11</v>
      </c>
      <c r="T24">
        <v>0</v>
      </c>
    </row>
    <row r="25" spans="1:20" x14ac:dyDescent="0.25">
      <c r="A25">
        <v>65591679</v>
      </c>
      <c r="B25" s="1">
        <v>41333.644537037035</v>
      </c>
      <c r="C25" t="s">
        <v>99</v>
      </c>
      <c r="D25" t="s">
        <v>100</v>
      </c>
      <c r="E25" t="s">
        <v>94</v>
      </c>
      <c r="F25" t="s">
        <v>3</v>
      </c>
      <c r="G25">
        <v>3363923761</v>
      </c>
      <c r="H25">
        <v>58</v>
      </c>
      <c r="I25" t="s">
        <v>101</v>
      </c>
      <c r="J25" t="s">
        <v>102</v>
      </c>
      <c r="K25" t="s">
        <v>6</v>
      </c>
      <c r="L25" t="s">
        <v>7</v>
      </c>
      <c r="M25" t="s">
        <v>103</v>
      </c>
      <c r="N25">
        <v>48</v>
      </c>
      <c r="O25">
        <v>0.95</v>
      </c>
      <c r="P25" t="s">
        <v>9</v>
      </c>
      <c r="Q25" t="s">
        <v>118</v>
      </c>
      <c r="R25">
        <v>1548</v>
      </c>
      <c r="S25" t="s">
        <v>11</v>
      </c>
      <c r="T25">
        <v>0</v>
      </c>
    </row>
    <row r="26" spans="1:20" x14ac:dyDescent="0.25">
      <c r="A26">
        <v>65590935</v>
      </c>
      <c r="B26" s="1">
        <v>41333.083634259259</v>
      </c>
      <c r="C26" t="s">
        <v>12</v>
      </c>
      <c r="D26" t="s">
        <v>13</v>
      </c>
      <c r="E26" t="s">
        <v>14</v>
      </c>
      <c r="F26" t="s">
        <v>3</v>
      </c>
      <c r="G26">
        <v>8183269901</v>
      </c>
      <c r="H26">
        <v>34</v>
      </c>
      <c r="I26" t="s">
        <v>119</v>
      </c>
      <c r="J26" t="s">
        <v>16</v>
      </c>
      <c r="K26" t="s">
        <v>6</v>
      </c>
      <c r="L26" t="s">
        <v>7</v>
      </c>
      <c r="M26" t="s">
        <v>17</v>
      </c>
      <c r="N26">
        <v>25</v>
      </c>
      <c r="O26">
        <v>0.95</v>
      </c>
      <c r="P26" t="s">
        <v>9</v>
      </c>
      <c r="Q26" t="s">
        <v>120</v>
      </c>
      <c r="R26">
        <v>1542</v>
      </c>
      <c r="S26" t="s">
        <v>11</v>
      </c>
      <c r="T26">
        <v>0</v>
      </c>
    </row>
    <row r="27" spans="1:20" x14ac:dyDescent="0.25">
      <c r="A27">
        <v>65590341</v>
      </c>
      <c r="B27" s="1">
        <v>41332.923877314817</v>
      </c>
      <c r="C27" t="s">
        <v>86</v>
      </c>
      <c r="D27" t="s">
        <v>87</v>
      </c>
      <c r="E27" t="s">
        <v>21</v>
      </c>
      <c r="F27" t="s">
        <v>3</v>
      </c>
      <c r="G27">
        <v>9046557579</v>
      </c>
      <c r="H27">
        <v>48</v>
      </c>
      <c r="I27" t="s">
        <v>107</v>
      </c>
      <c r="J27" t="s">
        <v>89</v>
      </c>
      <c r="K27" t="s">
        <v>6</v>
      </c>
      <c r="L27" t="s">
        <v>7</v>
      </c>
      <c r="M27" t="s">
        <v>90</v>
      </c>
      <c r="N27">
        <v>75</v>
      </c>
      <c r="O27">
        <v>0.95</v>
      </c>
      <c r="P27" t="s">
        <v>9</v>
      </c>
      <c r="Q27" t="s">
        <v>121</v>
      </c>
      <c r="R27">
        <v>1537</v>
      </c>
      <c r="S27" t="s">
        <v>11</v>
      </c>
      <c r="T27">
        <v>0</v>
      </c>
    </row>
    <row r="28" spans="1:20" x14ac:dyDescent="0.25">
      <c r="A28">
        <v>65590159</v>
      </c>
      <c r="B28" s="1">
        <v>41332.852500000001</v>
      </c>
      <c r="C28" t="s">
        <v>78</v>
      </c>
      <c r="D28" t="s">
        <v>79</v>
      </c>
      <c r="E28" t="s">
        <v>80</v>
      </c>
      <c r="F28" t="s">
        <v>3</v>
      </c>
      <c r="G28">
        <v>5705740409</v>
      </c>
      <c r="H28">
        <v>34</v>
      </c>
      <c r="I28" t="s">
        <v>122</v>
      </c>
      <c r="J28" t="s">
        <v>82</v>
      </c>
      <c r="K28" t="s">
        <v>6</v>
      </c>
      <c r="L28" t="s">
        <v>7</v>
      </c>
      <c r="M28" t="s">
        <v>83</v>
      </c>
      <c r="N28">
        <v>92</v>
      </c>
      <c r="O28">
        <v>0.95</v>
      </c>
      <c r="P28" t="s">
        <v>9</v>
      </c>
      <c r="Q28" t="s">
        <v>123</v>
      </c>
      <c r="R28">
        <v>1535</v>
      </c>
      <c r="S28" t="s">
        <v>11</v>
      </c>
      <c r="T28">
        <v>0</v>
      </c>
    </row>
    <row r="29" spans="1:20" x14ac:dyDescent="0.25">
      <c r="A29">
        <v>65589750</v>
      </c>
      <c r="B29" s="1">
        <v>41332.61550925926</v>
      </c>
      <c r="C29" t="s">
        <v>124</v>
      </c>
      <c r="D29" t="s">
        <v>125</v>
      </c>
      <c r="E29" t="s">
        <v>14</v>
      </c>
      <c r="F29" t="s">
        <v>3</v>
      </c>
      <c r="G29">
        <v>7145555555</v>
      </c>
      <c r="H29">
        <v>21</v>
      </c>
      <c r="I29" t="s">
        <v>126</v>
      </c>
      <c r="J29" t="s">
        <v>127</v>
      </c>
      <c r="K29" t="s">
        <v>52</v>
      </c>
      <c r="L29" t="s">
        <v>52</v>
      </c>
      <c r="N29">
        <v>50</v>
      </c>
      <c r="O29">
        <v>0.95</v>
      </c>
      <c r="P29" t="s">
        <v>9</v>
      </c>
      <c r="Q29" t="s">
        <v>128</v>
      </c>
      <c r="R29">
        <v>1532</v>
      </c>
      <c r="S29" t="s">
        <v>11</v>
      </c>
      <c r="T29">
        <v>0</v>
      </c>
    </row>
    <row r="30" spans="1:20" x14ac:dyDescent="0.25">
      <c r="A30">
        <v>65588997</v>
      </c>
      <c r="B30" s="1">
        <v>41332.082962962966</v>
      </c>
      <c r="C30" t="s">
        <v>129</v>
      </c>
      <c r="D30" t="s">
        <v>130</v>
      </c>
      <c r="E30" t="s">
        <v>131</v>
      </c>
      <c r="F30" t="s">
        <v>3</v>
      </c>
      <c r="G30">
        <v>6122094867</v>
      </c>
      <c r="H30">
        <v>36</v>
      </c>
      <c r="I30" t="s">
        <v>132</v>
      </c>
      <c r="J30" t="s">
        <v>133</v>
      </c>
      <c r="K30" t="s">
        <v>6</v>
      </c>
      <c r="L30" t="s">
        <v>7</v>
      </c>
      <c r="M30" t="s">
        <v>46</v>
      </c>
      <c r="N30">
        <v>75</v>
      </c>
      <c r="O30">
        <v>0.95</v>
      </c>
      <c r="P30" t="s">
        <v>9</v>
      </c>
      <c r="Q30" t="s">
        <v>134</v>
      </c>
      <c r="R30">
        <v>1526</v>
      </c>
      <c r="S30" t="s">
        <v>11</v>
      </c>
      <c r="T30">
        <v>0</v>
      </c>
    </row>
    <row r="31" spans="1:20" x14ac:dyDescent="0.25">
      <c r="A31">
        <v>65588517</v>
      </c>
      <c r="B31" s="1">
        <v>41331.942766203705</v>
      </c>
      <c r="C31" t="s">
        <v>135</v>
      </c>
      <c r="D31" t="s">
        <v>136</v>
      </c>
      <c r="E31" t="s">
        <v>137</v>
      </c>
      <c r="F31" t="s">
        <v>3</v>
      </c>
      <c r="G31">
        <v>2102628438</v>
      </c>
      <c r="H31">
        <v>26</v>
      </c>
      <c r="I31" t="s">
        <v>138</v>
      </c>
      <c r="J31" t="s">
        <v>139</v>
      </c>
      <c r="K31" t="s">
        <v>6</v>
      </c>
      <c r="L31" t="s">
        <v>7</v>
      </c>
      <c r="M31" t="s">
        <v>140</v>
      </c>
      <c r="N31">
        <v>100</v>
      </c>
      <c r="O31">
        <v>0.95</v>
      </c>
      <c r="P31" t="s">
        <v>9</v>
      </c>
      <c r="Q31" t="s">
        <v>141</v>
      </c>
      <c r="R31">
        <v>1523</v>
      </c>
      <c r="S31" t="s">
        <v>11</v>
      </c>
      <c r="T31">
        <v>0</v>
      </c>
    </row>
    <row r="32" spans="1:20" x14ac:dyDescent="0.25">
      <c r="A32">
        <v>65588409</v>
      </c>
      <c r="B32" s="1">
        <v>41331.896192129629</v>
      </c>
      <c r="C32" t="s">
        <v>142</v>
      </c>
      <c r="D32" t="s">
        <v>143</v>
      </c>
      <c r="E32" t="s">
        <v>94</v>
      </c>
      <c r="F32" t="s">
        <v>3</v>
      </c>
      <c r="G32">
        <v>7044886585</v>
      </c>
      <c r="H32">
        <v>43</v>
      </c>
      <c r="I32" t="s">
        <v>144</v>
      </c>
      <c r="J32" t="s">
        <v>145</v>
      </c>
      <c r="K32" t="s">
        <v>6</v>
      </c>
      <c r="L32" t="s">
        <v>7</v>
      </c>
      <c r="M32" t="s">
        <v>146</v>
      </c>
      <c r="N32">
        <v>35</v>
      </c>
      <c r="O32">
        <v>0.95</v>
      </c>
      <c r="P32" t="s">
        <v>9</v>
      </c>
      <c r="Q32" t="s">
        <v>147</v>
      </c>
      <c r="R32">
        <v>1520</v>
      </c>
      <c r="S32" t="s">
        <v>11</v>
      </c>
      <c r="T32">
        <v>0</v>
      </c>
    </row>
    <row r="33" spans="1:20" x14ac:dyDescent="0.25">
      <c r="A33">
        <v>65588341</v>
      </c>
      <c r="B33" s="1">
        <v>41331.867210648146</v>
      </c>
      <c r="C33" t="s">
        <v>142</v>
      </c>
      <c r="D33" t="s">
        <v>143</v>
      </c>
      <c r="E33" t="s">
        <v>94</v>
      </c>
      <c r="F33" t="s">
        <v>3</v>
      </c>
      <c r="G33">
        <v>7044886585</v>
      </c>
      <c r="H33">
        <v>43</v>
      </c>
      <c r="I33" t="s">
        <v>144</v>
      </c>
      <c r="J33" t="s">
        <v>145</v>
      </c>
      <c r="K33" t="s">
        <v>6</v>
      </c>
      <c r="L33" t="s">
        <v>7</v>
      </c>
      <c r="M33" t="s">
        <v>146</v>
      </c>
      <c r="N33">
        <v>20</v>
      </c>
      <c r="O33">
        <v>0.95</v>
      </c>
      <c r="P33" t="s">
        <v>9</v>
      </c>
      <c r="Q33" t="s">
        <v>148</v>
      </c>
      <c r="R33">
        <v>1517</v>
      </c>
      <c r="S33" t="s">
        <v>11</v>
      </c>
      <c r="T33">
        <v>0</v>
      </c>
    </row>
    <row r="34" spans="1:20" x14ac:dyDescent="0.25">
      <c r="A34">
        <v>65588294</v>
      </c>
      <c r="B34" s="1">
        <v>41331.83966435185</v>
      </c>
      <c r="C34" t="s">
        <v>135</v>
      </c>
      <c r="D34" t="s">
        <v>136</v>
      </c>
      <c r="E34" t="s">
        <v>137</v>
      </c>
      <c r="F34" t="s">
        <v>3</v>
      </c>
      <c r="G34">
        <v>2102628438</v>
      </c>
      <c r="H34">
        <v>26</v>
      </c>
      <c r="I34" t="s">
        <v>138</v>
      </c>
      <c r="J34" t="s">
        <v>139</v>
      </c>
      <c r="K34" t="s">
        <v>6</v>
      </c>
      <c r="L34" t="s">
        <v>7</v>
      </c>
      <c r="M34" t="s">
        <v>140</v>
      </c>
      <c r="N34">
        <v>100</v>
      </c>
      <c r="O34">
        <v>0.95</v>
      </c>
      <c r="P34" t="s">
        <v>9</v>
      </c>
      <c r="Q34" t="s">
        <v>149</v>
      </c>
      <c r="R34">
        <v>1514</v>
      </c>
      <c r="S34" t="s">
        <v>11</v>
      </c>
      <c r="T34">
        <v>0</v>
      </c>
    </row>
    <row r="35" spans="1:20" x14ac:dyDescent="0.25">
      <c r="A35">
        <v>65588169</v>
      </c>
      <c r="B35" s="1">
        <v>41331.764363425929</v>
      </c>
      <c r="C35" t="s">
        <v>99</v>
      </c>
      <c r="D35" t="s">
        <v>100</v>
      </c>
      <c r="E35" t="s">
        <v>94</v>
      </c>
      <c r="F35" t="s">
        <v>3</v>
      </c>
      <c r="G35">
        <v>3363923761</v>
      </c>
      <c r="H35">
        <v>58</v>
      </c>
      <c r="I35" t="s">
        <v>101</v>
      </c>
      <c r="J35" t="s">
        <v>102</v>
      </c>
      <c r="K35" t="s">
        <v>6</v>
      </c>
      <c r="L35" t="s">
        <v>7</v>
      </c>
      <c r="M35" t="s">
        <v>103</v>
      </c>
      <c r="N35">
        <v>52</v>
      </c>
      <c r="O35">
        <v>0.95</v>
      </c>
      <c r="P35" t="s">
        <v>9</v>
      </c>
      <c r="Q35" t="s">
        <v>150</v>
      </c>
      <c r="R35">
        <v>1511</v>
      </c>
      <c r="S35" t="s">
        <v>11</v>
      </c>
      <c r="T35">
        <v>0</v>
      </c>
    </row>
    <row r="36" spans="1:20" x14ac:dyDescent="0.25">
      <c r="A36">
        <v>65587985</v>
      </c>
      <c r="B36" s="1">
        <v>41331.582766203705</v>
      </c>
      <c r="C36" t="s">
        <v>142</v>
      </c>
      <c r="D36" t="s">
        <v>143</v>
      </c>
      <c r="E36" t="s">
        <v>94</v>
      </c>
      <c r="F36" t="s">
        <v>3</v>
      </c>
      <c r="G36">
        <v>7044886585</v>
      </c>
      <c r="H36">
        <v>43</v>
      </c>
      <c r="I36" t="s">
        <v>151</v>
      </c>
      <c r="J36" t="s">
        <v>145</v>
      </c>
      <c r="K36" t="s">
        <v>6</v>
      </c>
      <c r="L36" t="s">
        <v>7</v>
      </c>
      <c r="M36" t="s">
        <v>146</v>
      </c>
      <c r="N36">
        <v>25</v>
      </c>
      <c r="O36">
        <v>0.95</v>
      </c>
      <c r="P36" t="s">
        <v>9</v>
      </c>
      <c r="Q36" t="s">
        <v>152</v>
      </c>
      <c r="R36">
        <v>1507</v>
      </c>
      <c r="S36" t="s">
        <v>11</v>
      </c>
      <c r="T36">
        <v>0</v>
      </c>
    </row>
    <row r="37" spans="1:20" x14ac:dyDescent="0.25">
      <c r="A37">
        <v>65586363</v>
      </c>
      <c r="B37" s="1">
        <v>41330.605763888889</v>
      </c>
      <c r="C37" t="s">
        <v>153</v>
      </c>
      <c r="D37" t="s">
        <v>154</v>
      </c>
      <c r="E37" t="s">
        <v>155</v>
      </c>
      <c r="F37" t="s">
        <v>3</v>
      </c>
      <c r="G37">
        <v>7125742124</v>
      </c>
      <c r="H37">
        <v>60</v>
      </c>
      <c r="I37" t="s">
        <v>156</v>
      </c>
      <c r="J37" t="s">
        <v>157</v>
      </c>
      <c r="K37" t="s">
        <v>6</v>
      </c>
      <c r="L37" t="s">
        <v>31</v>
      </c>
      <c r="M37" t="s">
        <v>158</v>
      </c>
      <c r="N37">
        <v>50</v>
      </c>
      <c r="O37">
        <v>0.95</v>
      </c>
      <c r="P37" t="s">
        <v>9</v>
      </c>
      <c r="Q37" t="s">
        <v>159</v>
      </c>
      <c r="R37">
        <v>1499</v>
      </c>
      <c r="S37" t="s">
        <v>11</v>
      </c>
      <c r="T37">
        <v>0</v>
      </c>
    </row>
    <row r="38" spans="1:20" x14ac:dyDescent="0.25">
      <c r="N38">
        <v>102</v>
      </c>
      <c r="R38">
        <v>1654</v>
      </c>
    </row>
    <row r="39" spans="1:20" x14ac:dyDescent="0.25">
      <c r="N39">
        <v>74</v>
      </c>
      <c r="R39">
        <v>1656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selection activeCell="F1" sqref="F1"/>
    </sheetView>
  </sheetViews>
  <sheetFormatPr defaultRowHeight="15" x14ac:dyDescent="0.25"/>
  <sheetData>
    <row r="1" spans="1:27" x14ac:dyDescent="0.25">
      <c r="A1" s="2" t="s">
        <v>160</v>
      </c>
      <c r="B1" s="2" t="s">
        <v>161</v>
      </c>
      <c r="C1" s="2" t="s">
        <v>162</v>
      </c>
      <c r="D1" s="2" t="s">
        <v>163</v>
      </c>
      <c r="E1" s="2" t="s">
        <v>164</v>
      </c>
      <c r="F1" s="3">
        <v>49.94</v>
      </c>
      <c r="G1" s="2" t="s">
        <v>165</v>
      </c>
      <c r="H1" s="4" t="s">
        <v>166</v>
      </c>
      <c r="I1" s="4" t="s">
        <v>167</v>
      </c>
      <c r="J1" s="4" t="s">
        <v>168</v>
      </c>
      <c r="K1" s="2" t="s">
        <v>7</v>
      </c>
      <c r="L1" s="2" t="s">
        <v>169</v>
      </c>
      <c r="M1" s="2" t="s">
        <v>170</v>
      </c>
      <c r="N1" s="2" t="s">
        <v>171</v>
      </c>
      <c r="O1" s="2" t="s">
        <v>172</v>
      </c>
      <c r="P1" s="2" t="s">
        <v>173</v>
      </c>
      <c r="Q1" s="2" t="s">
        <v>94</v>
      </c>
      <c r="R1" s="2" t="s">
        <v>174</v>
      </c>
      <c r="S1" s="2" t="s">
        <v>175</v>
      </c>
      <c r="T1" s="2" t="s">
        <v>176</v>
      </c>
      <c r="U1" s="2" t="s">
        <v>177</v>
      </c>
      <c r="V1" s="2" t="s">
        <v>178</v>
      </c>
      <c r="W1" s="2" t="s">
        <v>179</v>
      </c>
      <c r="X1" s="2" t="s">
        <v>161</v>
      </c>
      <c r="Y1" s="2" t="s">
        <v>180</v>
      </c>
      <c r="Z1" s="2" t="s">
        <v>181</v>
      </c>
      <c r="AA1" s="2" t="s">
        <v>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Views>
    <sheetView workbookViewId="0">
      <selection activeCell="F1" sqref="F1:F5"/>
    </sheetView>
  </sheetViews>
  <sheetFormatPr defaultRowHeight="15" x14ac:dyDescent="0.25"/>
  <sheetData>
    <row r="1" spans="1:27" x14ac:dyDescent="0.25">
      <c r="A1" s="2" t="s">
        <v>183</v>
      </c>
      <c r="B1" s="2" t="s">
        <v>184</v>
      </c>
      <c r="C1" s="2" t="s">
        <v>185</v>
      </c>
      <c r="D1" s="2" t="s">
        <v>163</v>
      </c>
      <c r="E1" s="2" t="s">
        <v>186</v>
      </c>
      <c r="F1" s="3">
        <v>54.93</v>
      </c>
      <c r="G1" s="2" t="s">
        <v>187</v>
      </c>
      <c r="H1" s="4" t="s">
        <v>188</v>
      </c>
      <c r="I1" s="4" t="s">
        <v>189</v>
      </c>
      <c r="J1" s="4" t="s">
        <v>190</v>
      </c>
      <c r="K1" s="2" t="s">
        <v>7</v>
      </c>
      <c r="L1" s="2" t="s">
        <v>191</v>
      </c>
      <c r="M1" s="2" t="s">
        <v>170</v>
      </c>
      <c r="N1" s="2" t="s">
        <v>171</v>
      </c>
      <c r="O1" s="2" t="s">
        <v>172</v>
      </c>
      <c r="P1" s="2" t="s">
        <v>173</v>
      </c>
      <c r="Q1" s="2" t="s">
        <v>94</v>
      </c>
      <c r="R1" s="2" t="s">
        <v>174</v>
      </c>
      <c r="S1" s="2" t="s">
        <v>175</v>
      </c>
      <c r="T1" s="2" t="s">
        <v>192</v>
      </c>
      <c r="U1" s="2" t="s">
        <v>193</v>
      </c>
      <c r="V1" s="2" t="s">
        <v>194</v>
      </c>
      <c r="W1" s="2" t="s">
        <v>195</v>
      </c>
      <c r="X1" s="2" t="s">
        <v>184</v>
      </c>
      <c r="Y1" s="2" t="s">
        <v>180</v>
      </c>
      <c r="Z1" s="2" t="s">
        <v>196</v>
      </c>
      <c r="AA1" s="2" t="s">
        <v>182</v>
      </c>
    </row>
    <row r="2" spans="1:27" x14ac:dyDescent="0.25">
      <c r="A2" s="2" t="s">
        <v>197</v>
      </c>
      <c r="B2" s="2" t="s">
        <v>198</v>
      </c>
      <c r="C2" s="2" t="s">
        <v>199</v>
      </c>
      <c r="D2" s="2" t="s">
        <v>163</v>
      </c>
      <c r="E2" s="2" t="s">
        <v>186</v>
      </c>
      <c r="F2" s="3">
        <v>69.959999999999994</v>
      </c>
      <c r="G2" s="2" t="s">
        <v>200</v>
      </c>
      <c r="H2" s="4" t="s">
        <v>201</v>
      </c>
      <c r="I2" s="4" t="s">
        <v>202</v>
      </c>
      <c r="J2" s="4" t="s">
        <v>203</v>
      </c>
      <c r="K2" s="2" t="s">
        <v>7</v>
      </c>
      <c r="L2" s="2" t="s">
        <v>204</v>
      </c>
      <c r="M2" s="2" t="s">
        <v>170</v>
      </c>
      <c r="N2" s="2" t="s">
        <v>171</v>
      </c>
      <c r="O2" s="2" t="s">
        <v>172</v>
      </c>
      <c r="P2" s="2" t="s">
        <v>173</v>
      </c>
      <c r="Q2" s="2" t="s">
        <v>94</v>
      </c>
      <c r="R2" s="2" t="s">
        <v>174</v>
      </c>
      <c r="S2" s="2" t="s">
        <v>175</v>
      </c>
      <c r="T2" s="2" t="s">
        <v>192</v>
      </c>
      <c r="U2" s="2" t="s">
        <v>193</v>
      </c>
      <c r="V2" s="2" t="s">
        <v>194</v>
      </c>
      <c r="W2" s="2" t="s">
        <v>195</v>
      </c>
      <c r="X2" s="2" t="s">
        <v>198</v>
      </c>
      <c r="Y2" s="2" t="s">
        <v>180</v>
      </c>
      <c r="Z2" s="2" t="s">
        <v>196</v>
      </c>
      <c r="AA2" s="2" t="s">
        <v>182</v>
      </c>
    </row>
    <row r="3" spans="1:27" x14ac:dyDescent="0.25">
      <c r="A3" s="2" t="s">
        <v>205</v>
      </c>
      <c r="B3" s="2" t="s">
        <v>206</v>
      </c>
      <c r="C3" s="2" t="s">
        <v>207</v>
      </c>
      <c r="D3" s="2" t="s">
        <v>163</v>
      </c>
      <c r="E3" s="2" t="s">
        <v>186</v>
      </c>
      <c r="F3" s="3">
        <v>49.98</v>
      </c>
      <c r="G3" s="2" t="s">
        <v>200</v>
      </c>
      <c r="H3" s="4" t="s">
        <v>208</v>
      </c>
      <c r="I3" s="4" t="s">
        <v>209</v>
      </c>
      <c r="J3" s="4" t="s">
        <v>210</v>
      </c>
      <c r="K3" s="2" t="s">
        <v>7</v>
      </c>
      <c r="L3" s="2" t="s">
        <v>211</v>
      </c>
      <c r="M3" s="2" t="s">
        <v>170</v>
      </c>
      <c r="N3" s="2" t="s">
        <v>171</v>
      </c>
      <c r="O3" s="2" t="s">
        <v>172</v>
      </c>
      <c r="P3" s="2" t="s">
        <v>173</v>
      </c>
      <c r="Q3" s="2" t="s">
        <v>94</v>
      </c>
      <c r="R3" s="2" t="s">
        <v>174</v>
      </c>
      <c r="S3" s="2" t="s">
        <v>175</v>
      </c>
      <c r="T3" s="2" t="s">
        <v>192</v>
      </c>
      <c r="U3" s="2" t="s">
        <v>193</v>
      </c>
      <c r="V3" s="2" t="s">
        <v>194</v>
      </c>
      <c r="W3" s="2" t="s">
        <v>195</v>
      </c>
      <c r="X3" s="2" t="s">
        <v>206</v>
      </c>
      <c r="Y3" s="2" t="s">
        <v>180</v>
      </c>
      <c r="Z3" s="2" t="s">
        <v>196</v>
      </c>
      <c r="AA3" s="2" t="s">
        <v>182</v>
      </c>
    </row>
    <row r="4" spans="1:27" x14ac:dyDescent="0.25">
      <c r="A4" s="2" t="s">
        <v>212</v>
      </c>
      <c r="B4" s="2" t="s">
        <v>213</v>
      </c>
      <c r="C4" s="2" t="s">
        <v>214</v>
      </c>
      <c r="D4" s="2" t="s">
        <v>163</v>
      </c>
      <c r="E4" s="2" t="s">
        <v>186</v>
      </c>
      <c r="F4" s="3">
        <v>49.98</v>
      </c>
      <c r="G4" s="2" t="s">
        <v>200</v>
      </c>
      <c r="H4" s="4" t="s">
        <v>215</v>
      </c>
      <c r="I4" s="4" t="s">
        <v>216</v>
      </c>
      <c r="J4" s="4" t="s">
        <v>217</v>
      </c>
      <c r="K4" s="2" t="s">
        <v>7</v>
      </c>
      <c r="L4" s="2" t="s">
        <v>211</v>
      </c>
      <c r="M4" s="2" t="s">
        <v>170</v>
      </c>
      <c r="N4" s="2" t="s">
        <v>171</v>
      </c>
      <c r="O4" s="2" t="s">
        <v>172</v>
      </c>
      <c r="P4" s="2" t="s">
        <v>173</v>
      </c>
      <c r="Q4" s="2" t="s">
        <v>94</v>
      </c>
      <c r="R4" s="2" t="s">
        <v>174</v>
      </c>
      <c r="S4" s="2" t="s">
        <v>175</v>
      </c>
      <c r="T4" s="2" t="s">
        <v>192</v>
      </c>
      <c r="U4" s="2" t="s">
        <v>193</v>
      </c>
      <c r="V4" s="2" t="s">
        <v>194</v>
      </c>
      <c r="W4" s="2" t="s">
        <v>195</v>
      </c>
      <c r="X4" s="2" t="s">
        <v>213</v>
      </c>
      <c r="Y4" s="2" t="s">
        <v>180</v>
      </c>
      <c r="Z4" s="2" t="s">
        <v>196</v>
      </c>
      <c r="AA4" s="2" t="s">
        <v>182</v>
      </c>
    </row>
    <row r="5" spans="1:27" x14ac:dyDescent="0.25">
      <c r="A5" s="2" t="s">
        <v>218</v>
      </c>
      <c r="B5" s="2" t="s">
        <v>219</v>
      </c>
      <c r="C5" s="2" t="s">
        <v>220</v>
      </c>
      <c r="D5" s="2" t="s">
        <v>163</v>
      </c>
      <c r="E5" s="2" t="s">
        <v>186</v>
      </c>
      <c r="F5" s="3">
        <v>49.99</v>
      </c>
      <c r="G5" s="2" t="s">
        <v>200</v>
      </c>
      <c r="H5" s="4" t="s">
        <v>221</v>
      </c>
      <c r="I5" s="4" t="s">
        <v>222</v>
      </c>
      <c r="J5" s="4" t="s">
        <v>223</v>
      </c>
      <c r="K5" s="2" t="s">
        <v>7</v>
      </c>
      <c r="L5" s="2" t="s">
        <v>169</v>
      </c>
      <c r="M5" s="2" t="s">
        <v>170</v>
      </c>
      <c r="N5" s="2" t="s">
        <v>171</v>
      </c>
      <c r="O5" s="2" t="s">
        <v>172</v>
      </c>
      <c r="P5" s="2" t="s">
        <v>173</v>
      </c>
      <c r="Q5" s="2" t="s">
        <v>94</v>
      </c>
      <c r="R5" s="2" t="s">
        <v>174</v>
      </c>
      <c r="S5" s="2" t="s">
        <v>175</v>
      </c>
      <c r="T5" s="2" t="s">
        <v>192</v>
      </c>
      <c r="U5" s="2" t="s">
        <v>193</v>
      </c>
      <c r="V5" s="2" t="s">
        <v>194</v>
      </c>
      <c r="W5" s="2" t="s">
        <v>195</v>
      </c>
      <c r="X5" s="2" t="s">
        <v>219</v>
      </c>
      <c r="Y5" s="2" t="s">
        <v>180</v>
      </c>
      <c r="Z5" s="2" t="s">
        <v>196</v>
      </c>
      <c r="AA5" s="2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opLeftCell="A15" workbookViewId="0">
      <selection activeCell="K1" sqref="K1:K45"/>
    </sheetView>
  </sheetViews>
  <sheetFormatPr defaultRowHeight="15" x14ac:dyDescent="0.25"/>
  <sheetData>
    <row r="1" spans="1:13" x14ac:dyDescent="0.25">
      <c r="A1">
        <v>1656</v>
      </c>
      <c r="B1">
        <v>1</v>
      </c>
      <c r="C1" t="s">
        <v>224</v>
      </c>
      <c r="D1" t="s">
        <v>20</v>
      </c>
      <c r="E1" t="s">
        <v>225</v>
      </c>
      <c r="F1" t="s">
        <v>226</v>
      </c>
      <c r="G1">
        <v>65575481</v>
      </c>
      <c r="I1" t="s">
        <v>9</v>
      </c>
      <c r="J1" t="s">
        <v>227</v>
      </c>
      <c r="K1">
        <v>74</v>
      </c>
      <c r="L1" t="s">
        <v>228</v>
      </c>
      <c r="M1" s="1">
        <v>41336.898344907408</v>
      </c>
    </row>
    <row r="2" spans="1:13" x14ac:dyDescent="0.25">
      <c r="A2">
        <v>1654</v>
      </c>
      <c r="B2">
        <v>2</v>
      </c>
      <c r="C2" t="s">
        <v>229</v>
      </c>
      <c r="D2" t="s">
        <v>1</v>
      </c>
      <c r="E2" t="s">
        <v>225</v>
      </c>
      <c r="F2" t="s">
        <v>226</v>
      </c>
      <c r="G2">
        <v>65575408</v>
      </c>
      <c r="I2" t="s">
        <v>9</v>
      </c>
      <c r="J2" t="s">
        <v>227</v>
      </c>
      <c r="K2">
        <v>102</v>
      </c>
      <c r="L2" t="s">
        <v>228</v>
      </c>
      <c r="M2" s="1">
        <v>41336.874479166669</v>
      </c>
    </row>
    <row r="3" spans="1:13" x14ac:dyDescent="0.25">
      <c r="A3">
        <v>1652</v>
      </c>
      <c r="B3">
        <v>2</v>
      </c>
      <c r="C3" t="s">
        <v>229</v>
      </c>
      <c r="D3" t="s">
        <v>1</v>
      </c>
      <c r="E3" t="s">
        <v>225</v>
      </c>
      <c r="F3" t="s">
        <v>226</v>
      </c>
      <c r="G3">
        <v>65575005</v>
      </c>
      <c r="I3" t="s">
        <v>9</v>
      </c>
      <c r="J3" t="s">
        <v>227</v>
      </c>
      <c r="K3">
        <v>102</v>
      </c>
      <c r="L3" t="s">
        <v>228</v>
      </c>
      <c r="M3" s="1">
        <v>41336.752870370372</v>
      </c>
    </row>
    <row r="4" spans="1:13" x14ac:dyDescent="0.25">
      <c r="A4">
        <v>1648</v>
      </c>
      <c r="B4">
        <v>1</v>
      </c>
      <c r="C4" t="s">
        <v>230</v>
      </c>
      <c r="D4" t="s">
        <v>13</v>
      </c>
      <c r="E4" t="s">
        <v>225</v>
      </c>
      <c r="F4" t="s">
        <v>226</v>
      </c>
      <c r="G4">
        <v>65574441</v>
      </c>
      <c r="I4" t="s">
        <v>9</v>
      </c>
      <c r="J4" t="s">
        <v>227</v>
      </c>
      <c r="K4">
        <v>20</v>
      </c>
      <c r="L4" t="s">
        <v>228</v>
      </c>
      <c r="M4" s="1">
        <v>41336.58011574074</v>
      </c>
    </row>
    <row r="5" spans="1:13" x14ac:dyDescent="0.25">
      <c r="A5">
        <v>1646</v>
      </c>
      <c r="B5">
        <v>1</v>
      </c>
      <c r="C5" t="s">
        <v>224</v>
      </c>
      <c r="D5" t="s">
        <v>20</v>
      </c>
      <c r="E5" t="s">
        <v>225</v>
      </c>
      <c r="F5" t="s">
        <v>226</v>
      </c>
      <c r="G5">
        <v>65574328</v>
      </c>
      <c r="I5" t="s">
        <v>9</v>
      </c>
      <c r="J5" t="s">
        <v>227</v>
      </c>
      <c r="K5">
        <v>74</v>
      </c>
      <c r="L5" t="s">
        <v>228</v>
      </c>
      <c r="M5" s="1">
        <v>41336.538506944446</v>
      </c>
    </row>
    <row r="6" spans="1:13" x14ac:dyDescent="0.25">
      <c r="A6">
        <v>1640</v>
      </c>
      <c r="B6">
        <v>2</v>
      </c>
      <c r="C6" t="s">
        <v>231</v>
      </c>
      <c r="D6" t="s">
        <v>27</v>
      </c>
      <c r="E6" t="s">
        <v>225</v>
      </c>
      <c r="F6" t="s">
        <v>226</v>
      </c>
      <c r="G6">
        <v>65574104</v>
      </c>
      <c r="I6" t="s">
        <v>9</v>
      </c>
      <c r="J6" t="s">
        <v>227</v>
      </c>
      <c r="K6">
        <v>60</v>
      </c>
      <c r="L6" t="s">
        <v>228</v>
      </c>
      <c r="M6" s="1">
        <v>41336.477870370371</v>
      </c>
    </row>
    <row r="7" spans="1:13" x14ac:dyDescent="0.25">
      <c r="A7">
        <v>1630</v>
      </c>
      <c r="B7">
        <v>1</v>
      </c>
      <c r="C7" t="s">
        <v>232</v>
      </c>
      <c r="D7" t="s">
        <v>35</v>
      </c>
      <c r="E7" t="s">
        <v>225</v>
      </c>
      <c r="F7" t="s">
        <v>226</v>
      </c>
      <c r="G7">
        <v>65573389</v>
      </c>
      <c r="I7" t="s">
        <v>9</v>
      </c>
      <c r="J7" t="s">
        <v>227</v>
      </c>
      <c r="K7">
        <v>25</v>
      </c>
      <c r="L7" t="s">
        <v>228</v>
      </c>
      <c r="M7" s="1">
        <v>41335.97146990741</v>
      </c>
    </row>
    <row r="8" spans="1:13" x14ac:dyDescent="0.25">
      <c r="A8">
        <v>1620</v>
      </c>
      <c r="B8">
        <v>1</v>
      </c>
      <c r="C8" t="s">
        <v>233</v>
      </c>
      <c r="D8" t="s">
        <v>42</v>
      </c>
      <c r="E8" t="s">
        <v>225</v>
      </c>
      <c r="F8" t="s">
        <v>226</v>
      </c>
      <c r="G8">
        <v>65572898</v>
      </c>
      <c r="I8" t="s">
        <v>9</v>
      </c>
      <c r="J8" t="s">
        <v>227</v>
      </c>
      <c r="K8">
        <v>50</v>
      </c>
      <c r="L8" t="s">
        <v>228</v>
      </c>
      <c r="M8" s="1">
        <v>41335.794560185182</v>
      </c>
    </row>
    <row r="9" spans="1:13" x14ac:dyDescent="0.25">
      <c r="A9">
        <v>1618</v>
      </c>
      <c r="B9">
        <v>1</v>
      </c>
      <c r="C9" t="s">
        <v>234</v>
      </c>
      <c r="D9" t="s">
        <v>49</v>
      </c>
      <c r="E9" t="s">
        <v>225</v>
      </c>
      <c r="F9" t="s">
        <v>226</v>
      </c>
      <c r="G9">
        <v>65572814</v>
      </c>
      <c r="I9" t="s">
        <v>9</v>
      </c>
      <c r="J9" t="s">
        <v>227</v>
      </c>
      <c r="K9">
        <v>150</v>
      </c>
      <c r="L9" t="s">
        <v>228</v>
      </c>
      <c r="M9" s="1">
        <v>41335.774340277778</v>
      </c>
    </row>
    <row r="10" spans="1:13" x14ac:dyDescent="0.25">
      <c r="A10">
        <v>1616</v>
      </c>
      <c r="B10">
        <v>1</v>
      </c>
      <c r="C10" t="s">
        <v>235</v>
      </c>
      <c r="D10" t="s">
        <v>55</v>
      </c>
      <c r="E10" t="s">
        <v>225</v>
      </c>
      <c r="F10" t="s">
        <v>226</v>
      </c>
      <c r="G10">
        <v>65572497</v>
      </c>
      <c r="I10" t="s">
        <v>9</v>
      </c>
      <c r="J10" t="s">
        <v>227</v>
      </c>
      <c r="K10">
        <v>50</v>
      </c>
      <c r="L10" t="s">
        <v>228</v>
      </c>
      <c r="M10" s="1">
        <v>41335.686712962961</v>
      </c>
    </row>
    <row r="11" spans="1:13" x14ac:dyDescent="0.25">
      <c r="A11">
        <v>1610</v>
      </c>
      <c r="B11">
        <v>2</v>
      </c>
      <c r="C11" t="s">
        <v>236</v>
      </c>
      <c r="D11" t="s">
        <v>62</v>
      </c>
      <c r="E11" t="s">
        <v>225</v>
      </c>
      <c r="F11" t="s">
        <v>226</v>
      </c>
      <c r="G11">
        <v>65572395</v>
      </c>
      <c r="I11" t="s">
        <v>9</v>
      </c>
      <c r="J11" t="s">
        <v>227</v>
      </c>
      <c r="K11">
        <v>50</v>
      </c>
      <c r="L11" t="s">
        <v>228</v>
      </c>
      <c r="M11" s="1">
        <v>41335.655960648146</v>
      </c>
    </row>
    <row r="12" spans="1:13" x14ac:dyDescent="0.25">
      <c r="A12">
        <v>1608</v>
      </c>
      <c r="B12">
        <v>2</v>
      </c>
      <c r="C12" t="s">
        <v>229</v>
      </c>
      <c r="D12" t="s">
        <v>1</v>
      </c>
      <c r="E12" t="s">
        <v>225</v>
      </c>
      <c r="F12" t="s">
        <v>226</v>
      </c>
      <c r="G12">
        <v>65572367</v>
      </c>
      <c r="I12" t="s">
        <v>9</v>
      </c>
      <c r="J12" t="s">
        <v>227</v>
      </c>
      <c r="K12">
        <v>102</v>
      </c>
      <c r="L12" t="s">
        <v>228</v>
      </c>
      <c r="M12" s="1">
        <v>41335.647476851853</v>
      </c>
    </row>
    <row r="13" spans="1:13" x14ac:dyDescent="0.25">
      <c r="A13">
        <v>1603</v>
      </c>
      <c r="B13">
        <v>2</v>
      </c>
      <c r="C13" t="s">
        <v>236</v>
      </c>
      <c r="D13" t="s">
        <v>62</v>
      </c>
      <c r="E13" t="s">
        <v>225</v>
      </c>
      <c r="F13" t="s">
        <v>226</v>
      </c>
      <c r="G13">
        <v>65572178</v>
      </c>
      <c r="I13" t="s">
        <v>9</v>
      </c>
      <c r="J13" t="s">
        <v>227</v>
      </c>
      <c r="K13">
        <v>50</v>
      </c>
      <c r="L13" t="s">
        <v>228</v>
      </c>
      <c r="M13" s="1">
        <v>41335.599305555559</v>
      </c>
    </row>
    <row r="14" spans="1:13" x14ac:dyDescent="0.25">
      <c r="A14">
        <v>1600</v>
      </c>
      <c r="B14">
        <v>1</v>
      </c>
      <c r="C14" t="s">
        <v>237</v>
      </c>
      <c r="D14" t="s">
        <v>71</v>
      </c>
      <c r="E14" t="s">
        <v>225</v>
      </c>
      <c r="F14" t="s">
        <v>226</v>
      </c>
      <c r="G14">
        <v>65571985</v>
      </c>
      <c r="I14" t="s">
        <v>9</v>
      </c>
      <c r="J14" t="s">
        <v>227</v>
      </c>
      <c r="K14">
        <v>50</v>
      </c>
      <c r="L14" t="s">
        <v>228</v>
      </c>
      <c r="M14" s="1">
        <v>41335.54583333333</v>
      </c>
    </row>
    <row r="15" spans="1:13" x14ac:dyDescent="0.25">
      <c r="A15">
        <v>1598</v>
      </c>
      <c r="B15">
        <v>2</v>
      </c>
      <c r="C15" t="s">
        <v>236</v>
      </c>
      <c r="D15" t="s">
        <v>62</v>
      </c>
      <c r="E15" t="s">
        <v>225</v>
      </c>
      <c r="F15" t="s">
        <v>226</v>
      </c>
      <c r="G15">
        <v>65571956</v>
      </c>
      <c r="I15" t="s">
        <v>9</v>
      </c>
      <c r="J15" t="s">
        <v>227</v>
      </c>
      <c r="K15">
        <v>50</v>
      </c>
      <c r="L15" t="s">
        <v>228</v>
      </c>
      <c r="M15" s="1">
        <v>41335.537164351852</v>
      </c>
    </row>
    <row r="16" spans="1:13" x14ac:dyDescent="0.25">
      <c r="A16">
        <v>1595</v>
      </c>
      <c r="B16">
        <v>2</v>
      </c>
      <c r="C16" t="s">
        <v>238</v>
      </c>
      <c r="D16" t="s">
        <v>79</v>
      </c>
      <c r="E16" t="s">
        <v>225</v>
      </c>
      <c r="F16" t="s">
        <v>226</v>
      </c>
      <c r="G16">
        <v>65571772</v>
      </c>
      <c r="I16" t="s">
        <v>9</v>
      </c>
      <c r="J16" t="s">
        <v>227</v>
      </c>
      <c r="K16">
        <v>53</v>
      </c>
      <c r="L16" t="s">
        <v>228</v>
      </c>
      <c r="M16" s="1">
        <v>41335.479548611111</v>
      </c>
    </row>
    <row r="17" spans="1:13" x14ac:dyDescent="0.25">
      <c r="A17">
        <v>1593</v>
      </c>
      <c r="B17">
        <v>2</v>
      </c>
      <c r="C17" t="s">
        <v>236</v>
      </c>
      <c r="D17" t="s">
        <v>62</v>
      </c>
      <c r="E17" t="s">
        <v>225</v>
      </c>
      <c r="F17" t="s">
        <v>226</v>
      </c>
      <c r="G17">
        <v>65571673</v>
      </c>
      <c r="I17" t="s">
        <v>9</v>
      </c>
      <c r="J17" t="s">
        <v>227</v>
      </c>
      <c r="K17">
        <v>50</v>
      </c>
      <c r="L17" t="s">
        <v>228</v>
      </c>
      <c r="M17" s="1">
        <v>41335.447071759256</v>
      </c>
    </row>
    <row r="18" spans="1:13" x14ac:dyDescent="0.25">
      <c r="A18">
        <v>1591</v>
      </c>
      <c r="B18">
        <v>1</v>
      </c>
      <c r="C18" t="s">
        <v>239</v>
      </c>
      <c r="D18" t="s">
        <v>87</v>
      </c>
      <c r="E18" t="s">
        <v>225</v>
      </c>
      <c r="F18" t="s">
        <v>226</v>
      </c>
      <c r="G18">
        <v>65570147</v>
      </c>
      <c r="I18" t="s">
        <v>9</v>
      </c>
      <c r="J18" t="s">
        <v>227</v>
      </c>
      <c r="K18">
        <v>90</v>
      </c>
      <c r="L18" t="s">
        <v>228</v>
      </c>
      <c r="M18" s="1">
        <v>41334.78800925926</v>
      </c>
    </row>
    <row r="19" spans="1:13" x14ac:dyDescent="0.25">
      <c r="A19">
        <v>1588</v>
      </c>
      <c r="B19">
        <v>1</v>
      </c>
      <c r="C19" t="s">
        <v>240</v>
      </c>
      <c r="D19" t="s">
        <v>93</v>
      </c>
      <c r="E19" t="s">
        <v>225</v>
      </c>
      <c r="F19" t="s">
        <v>226</v>
      </c>
      <c r="G19">
        <v>65570049</v>
      </c>
      <c r="I19" t="s">
        <v>9</v>
      </c>
      <c r="J19" t="s">
        <v>227</v>
      </c>
      <c r="K19">
        <v>60</v>
      </c>
      <c r="L19" t="s">
        <v>228</v>
      </c>
      <c r="M19" s="1">
        <v>41334.771423611113</v>
      </c>
    </row>
    <row r="20" spans="1:13" x14ac:dyDescent="0.25">
      <c r="A20">
        <v>1576</v>
      </c>
      <c r="B20">
        <v>1</v>
      </c>
      <c r="C20" t="s">
        <v>241</v>
      </c>
      <c r="D20" t="s">
        <v>100</v>
      </c>
      <c r="E20" t="s">
        <v>225</v>
      </c>
      <c r="F20" t="s">
        <v>226</v>
      </c>
      <c r="G20">
        <v>65569723</v>
      </c>
      <c r="I20" t="s">
        <v>9</v>
      </c>
      <c r="J20" t="s">
        <v>227</v>
      </c>
      <c r="K20">
        <v>67</v>
      </c>
      <c r="L20" t="s">
        <v>228</v>
      </c>
      <c r="M20" s="1">
        <v>41334.667048611111</v>
      </c>
    </row>
    <row r="21" spans="1:13" x14ac:dyDescent="0.25">
      <c r="A21">
        <v>1569</v>
      </c>
      <c r="B21">
        <v>1</v>
      </c>
      <c r="C21" t="s">
        <v>224</v>
      </c>
      <c r="D21" t="s">
        <v>20</v>
      </c>
      <c r="E21" t="s">
        <v>225</v>
      </c>
      <c r="F21" t="s">
        <v>226</v>
      </c>
      <c r="G21">
        <v>65569387</v>
      </c>
      <c r="I21" t="s">
        <v>9</v>
      </c>
      <c r="J21" t="s">
        <v>227</v>
      </c>
      <c r="K21">
        <v>74</v>
      </c>
      <c r="L21" t="s">
        <v>228</v>
      </c>
      <c r="M21" s="1">
        <v>41334.535578703704</v>
      </c>
    </row>
    <row r="22" spans="1:13" x14ac:dyDescent="0.25">
      <c r="A22">
        <v>1567</v>
      </c>
      <c r="B22">
        <v>1</v>
      </c>
      <c r="C22" t="s">
        <v>232</v>
      </c>
      <c r="D22" t="s">
        <v>35</v>
      </c>
      <c r="E22" t="s">
        <v>225</v>
      </c>
      <c r="F22" t="s">
        <v>226</v>
      </c>
      <c r="G22">
        <v>65569339</v>
      </c>
      <c r="I22" t="s">
        <v>9</v>
      </c>
      <c r="J22" t="s">
        <v>227</v>
      </c>
      <c r="K22">
        <v>200</v>
      </c>
      <c r="L22" t="s">
        <v>228</v>
      </c>
      <c r="M22" s="1">
        <v>41334.509942129633</v>
      </c>
    </row>
    <row r="23" spans="1:13" x14ac:dyDescent="0.25">
      <c r="A23">
        <v>1565</v>
      </c>
      <c r="B23">
        <v>3</v>
      </c>
      <c r="C23" t="s">
        <v>242</v>
      </c>
      <c r="D23" t="s">
        <v>180</v>
      </c>
      <c r="E23" t="s">
        <v>243</v>
      </c>
      <c r="F23" t="s">
        <v>226</v>
      </c>
      <c r="G23" t="s">
        <v>183</v>
      </c>
      <c r="I23" t="s">
        <v>163</v>
      </c>
      <c r="J23" t="s">
        <v>227</v>
      </c>
      <c r="K23">
        <v>55</v>
      </c>
      <c r="L23" t="s">
        <v>228</v>
      </c>
      <c r="M23" s="1">
        <v>41334.46</v>
      </c>
    </row>
    <row r="24" spans="1:13" x14ac:dyDescent="0.25">
      <c r="A24">
        <v>1562</v>
      </c>
      <c r="B24">
        <v>1</v>
      </c>
      <c r="C24" t="s">
        <v>239</v>
      </c>
      <c r="D24" t="s">
        <v>87</v>
      </c>
      <c r="E24" t="s">
        <v>225</v>
      </c>
      <c r="F24" t="s">
        <v>226</v>
      </c>
      <c r="G24">
        <v>65568232</v>
      </c>
      <c r="I24" t="s">
        <v>9</v>
      </c>
      <c r="J24" t="s">
        <v>227</v>
      </c>
      <c r="K24">
        <v>77</v>
      </c>
      <c r="L24" t="s">
        <v>228</v>
      </c>
      <c r="M24" s="1">
        <v>41333.86277777778</v>
      </c>
    </row>
    <row r="25" spans="1:13" x14ac:dyDescent="0.25">
      <c r="A25">
        <v>1560</v>
      </c>
      <c r="B25">
        <v>1</v>
      </c>
      <c r="C25" t="s">
        <v>224</v>
      </c>
      <c r="D25" t="s">
        <v>20</v>
      </c>
      <c r="E25" t="s">
        <v>225</v>
      </c>
      <c r="F25" t="s">
        <v>226</v>
      </c>
      <c r="G25">
        <v>65568018</v>
      </c>
      <c r="I25" t="s">
        <v>9</v>
      </c>
      <c r="J25" t="s">
        <v>227</v>
      </c>
      <c r="K25">
        <v>73</v>
      </c>
      <c r="L25" t="s">
        <v>228</v>
      </c>
      <c r="M25" s="1">
        <v>41333.804699074077</v>
      </c>
    </row>
    <row r="26" spans="1:13" x14ac:dyDescent="0.25">
      <c r="A26">
        <v>1558</v>
      </c>
      <c r="B26">
        <v>1</v>
      </c>
      <c r="C26" t="s">
        <v>244</v>
      </c>
      <c r="D26" t="s">
        <v>112</v>
      </c>
      <c r="E26" t="s">
        <v>225</v>
      </c>
      <c r="F26" t="s">
        <v>226</v>
      </c>
      <c r="G26">
        <v>65567973</v>
      </c>
      <c r="I26" t="s">
        <v>9</v>
      </c>
      <c r="J26" t="s">
        <v>227</v>
      </c>
      <c r="K26">
        <v>120</v>
      </c>
      <c r="L26" t="s">
        <v>228</v>
      </c>
      <c r="M26" s="1">
        <v>41333.791458333333</v>
      </c>
    </row>
    <row r="27" spans="1:13" x14ac:dyDescent="0.25">
      <c r="A27">
        <v>1552</v>
      </c>
      <c r="B27">
        <v>2</v>
      </c>
      <c r="C27" t="s">
        <v>238</v>
      </c>
      <c r="D27" t="s">
        <v>79</v>
      </c>
      <c r="E27" t="s">
        <v>225</v>
      </c>
      <c r="F27" t="s">
        <v>226</v>
      </c>
      <c r="G27">
        <v>65567427</v>
      </c>
      <c r="I27" t="s">
        <v>9</v>
      </c>
      <c r="J27" t="s">
        <v>227</v>
      </c>
      <c r="K27">
        <v>75</v>
      </c>
      <c r="L27" t="s">
        <v>228</v>
      </c>
      <c r="M27" s="1">
        <v>41333.611898148149</v>
      </c>
    </row>
    <row r="28" spans="1:13" x14ac:dyDescent="0.25">
      <c r="A28">
        <v>1548</v>
      </c>
      <c r="B28">
        <v>1</v>
      </c>
      <c r="C28" t="s">
        <v>241</v>
      </c>
      <c r="D28" t="s">
        <v>100</v>
      </c>
      <c r="E28" t="s">
        <v>225</v>
      </c>
      <c r="F28" t="s">
        <v>226</v>
      </c>
      <c r="G28">
        <v>65567118</v>
      </c>
      <c r="I28" t="s">
        <v>9</v>
      </c>
      <c r="J28" t="s">
        <v>227</v>
      </c>
      <c r="K28">
        <v>48</v>
      </c>
      <c r="L28" t="s">
        <v>228</v>
      </c>
      <c r="M28" s="1">
        <v>41333.436215277776</v>
      </c>
    </row>
    <row r="29" spans="1:13" x14ac:dyDescent="0.25">
      <c r="A29">
        <v>1542</v>
      </c>
      <c r="B29">
        <v>1</v>
      </c>
      <c r="C29" t="s">
        <v>230</v>
      </c>
      <c r="D29" t="s">
        <v>13</v>
      </c>
      <c r="E29" t="s">
        <v>225</v>
      </c>
      <c r="F29" t="s">
        <v>226</v>
      </c>
      <c r="G29">
        <v>65566370</v>
      </c>
      <c r="I29" t="s">
        <v>9</v>
      </c>
      <c r="J29" t="s">
        <v>227</v>
      </c>
      <c r="K29">
        <v>25</v>
      </c>
      <c r="L29" t="s">
        <v>228</v>
      </c>
      <c r="M29" s="1">
        <v>41332.875300925924</v>
      </c>
    </row>
    <row r="30" spans="1:13" x14ac:dyDescent="0.25">
      <c r="A30">
        <v>1538</v>
      </c>
      <c r="B30">
        <v>3</v>
      </c>
      <c r="C30" t="s">
        <v>242</v>
      </c>
      <c r="D30" t="s">
        <v>180</v>
      </c>
      <c r="E30" t="s">
        <v>243</v>
      </c>
      <c r="F30" t="s">
        <v>226</v>
      </c>
      <c r="G30" t="s">
        <v>197</v>
      </c>
      <c r="I30" t="s">
        <v>163</v>
      </c>
      <c r="J30" t="s">
        <v>227</v>
      </c>
      <c r="K30">
        <v>70</v>
      </c>
      <c r="L30" t="s">
        <v>228</v>
      </c>
      <c r="M30" s="1">
        <v>41332.759872685187</v>
      </c>
    </row>
    <row r="31" spans="1:13" x14ac:dyDescent="0.25">
      <c r="A31">
        <v>1537</v>
      </c>
      <c r="B31">
        <v>1</v>
      </c>
      <c r="C31" t="s">
        <v>239</v>
      </c>
      <c r="D31" t="s">
        <v>87</v>
      </c>
      <c r="E31" t="s">
        <v>225</v>
      </c>
      <c r="F31" t="s">
        <v>226</v>
      </c>
      <c r="G31">
        <v>65565770</v>
      </c>
      <c r="I31" t="s">
        <v>9</v>
      </c>
      <c r="J31" t="s">
        <v>227</v>
      </c>
      <c r="K31">
        <v>75</v>
      </c>
      <c r="L31" t="s">
        <v>228</v>
      </c>
      <c r="M31" s="1">
        <v>41332.715555555558</v>
      </c>
    </row>
    <row r="32" spans="1:13" x14ac:dyDescent="0.25">
      <c r="A32">
        <v>1535</v>
      </c>
      <c r="B32">
        <v>2</v>
      </c>
      <c r="C32" t="s">
        <v>238</v>
      </c>
      <c r="D32" t="s">
        <v>79</v>
      </c>
      <c r="E32" t="s">
        <v>225</v>
      </c>
      <c r="F32" t="s">
        <v>226</v>
      </c>
      <c r="G32">
        <v>65565586</v>
      </c>
      <c r="I32" t="s">
        <v>9</v>
      </c>
      <c r="J32" t="s">
        <v>227</v>
      </c>
      <c r="K32">
        <v>92</v>
      </c>
      <c r="L32" t="s">
        <v>228</v>
      </c>
      <c r="M32" s="1">
        <v>41332.644166666665</v>
      </c>
    </row>
    <row r="33" spans="1:13" x14ac:dyDescent="0.25">
      <c r="A33">
        <v>1533</v>
      </c>
      <c r="B33">
        <v>3</v>
      </c>
      <c r="C33" t="s">
        <v>242</v>
      </c>
      <c r="D33" t="s">
        <v>180</v>
      </c>
      <c r="E33" t="s">
        <v>243</v>
      </c>
      <c r="F33" t="s">
        <v>226</v>
      </c>
      <c r="G33" t="s">
        <v>205</v>
      </c>
      <c r="I33" t="s">
        <v>163</v>
      </c>
      <c r="J33" t="s">
        <v>227</v>
      </c>
      <c r="K33">
        <v>50</v>
      </c>
      <c r="L33" t="s">
        <v>228</v>
      </c>
      <c r="M33" s="1">
        <v>41332.531608796293</v>
      </c>
    </row>
    <row r="34" spans="1:13" x14ac:dyDescent="0.25">
      <c r="A34">
        <v>1532</v>
      </c>
      <c r="B34">
        <v>1</v>
      </c>
      <c r="C34" t="s">
        <v>245</v>
      </c>
      <c r="D34" t="s">
        <v>125</v>
      </c>
      <c r="E34" t="s">
        <v>225</v>
      </c>
      <c r="F34" t="s">
        <v>226</v>
      </c>
      <c r="G34">
        <v>65565177</v>
      </c>
      <c r="I34" t="s">
        <v>9</v>
      </c>
      <c r="J34" t="s">
        <v>227</v>
      </c>
      <c r="K34">
        <v>50</v>
      </c>
      <c r="L34" t="s">
        <v>228</v>
      </c>
      <c r="M34" s="1">
        <v>41332.407187500001</v>
      </c>
    </row>
    <row r="35" spans="1:13" x14ac:dyDescent="0.25">
      <c r="A35">
        <v>1526</v>
      </c>
      <c r="B35">
        <v>2</v>
      </c>
      <c r="C35" t="s">
        <v>246</v>
      </c>
      <c r="D35" t="s">
        <v>130</v>
      </c>
      <c r="E35" t="s">
        <v>225</v>
      </c>
      <c r="F35" t="s">
        <v>226</v>
      </c>
      <c r="G35">
        <v>65564419</v>
      </c>
      <c r="I35" t="s">
        <v>9</v>
      </c>
      <c r="J35" t="s">
        <v>227</v>
      </c>
      <c r="K35">
        <v>75</v>
      </c>
      <c r="L35" t="s">
        <v>228</v>
      </c>
      <c r="M35" s="1">
        <v>41331.87462962963</v>
      </c>
    </row>
    <row r="36" spans="1:13" x14ac:dyDescent="0.25">
      <c r="A36">
        <v>1524</v>
      </c>
      <c r="B36">
        <v>3</v>
      </c>
      <c r="C36" t="s">
        <v>242</v>
      </c>
      <c r="D36" t="s">
        <v>180</v>
      </c>
      <c r="E36" t="s">
        <v>243</v>
      </c>
      <c r="F36" t="s">
        <v>226</v>
      </c>
      <c r="G36" t="s">
        <v>212</v>
      </c>
      <c r="I36" t="s">
        <v>163</v>
      </c>
      <c r="J36" t="s">
        <v>227</v>
      </c>
      <c r="K36">
        <v>50</v>
      </c>
      <c r="L36" t="s">
        <v>228</v>
      </c>
      <c r="M36" s="1">
        <v>41331.793553240743</v>
      </c>
    </row>
    <row r="37" spans="1:13" x14ac:dyDescent="0.25">
      <c r="A37">
        <v>1523</v>
      </c>
      <c r="B37">
        <v>1</v>
      </c>
      <c r="C37" t="s">
        <v>247</v>
      </c>
      <c r="D37" t="s">
        <v>136</v>
      </c>
      <c r="E37" t="s">
        <v>225</v>
      </c>
      <c r="F37" t="s">
        <v>226</v>
      </c>
      <c r="G37">
        <v>65563936</v>
      </c>
      <c r="I37" t="s">
        <v>9</v>
      </c>
      <c r="J37" t="s">
        <v>227</v>
      </c>
      <c r="K37">
        <v>100</v>
      </c>
      <c r="L37" t="s">
        <v>228</v>
      </c>
      <c r="M37" s="1">
        <v>41331.734444444446</v>
      </c>
    </row>
    <row r="38" spans="1:13" x14ac:dyDescent="0.25">
      <c r="A38">
        <v>1520</v>
      </c>
      <c r="B38">
        <v>2</v>
      </c>
      <c r="C38" t="s">
        <v>248</v>
      </c>
      <c r="D38" t="s">
        <v>143</v>
      </c>
      <c r="E38" t="s">
        <v>225</v>
      </c>
      <c r="F38" t="s">
        <v>226</v>
      </c>
      <c r="G38">
        <v>65563827</v>
      </c>
      <c r="I38" t="s">
        <v>9</v>
      </c>
      <c r="J38" t="s">
        <v>227</v>
      </c>
      <c r="K38">
        <v>35</v>
      </c>
      <c r="L38" t="s">
        <v>228</v>
      </c>
      <c r="M38" s="1">
        <v>41331.68787037037</v>
      </c>
    </row>
    <row r="39" spans="1:13" x14ac:dyDescent="0.25">
      <c r="A39">
        <v>1517</v>
      </c>
      <c r="B39">
        <v>2</v>
      </c>
      <c r="C39" t="s">
        <v>248</v>
      </c>
      <c r="D39" t="s">
        <v>143</v>
      </c>
      <c r="E39" t="s">
        <v>225</v>
      </c>
      <c r="F39" t="s">
        <v>226</v>
      </c>
      <c r="G39">
        <v>65563759</v>
      </c>
      <c r="I39" t="s">
        <v>9</v>
      </c>
      <c r="J39" t="s">
        <v>227</v>
      </c>
      <c r="K39">
        <v>20</v>
      </c>
      <c r="L39" t="s">
        <v>228</v>
      </c>
      <c r="M39" s="1">
        <v>41331.658888888887</v>
      </c>
    </row>
    <row r="40" spans="1:13" x14ac:dyDescent="0.25">
      <c r="A40">
        <v>1514</v>
      </c>
      <c r="B40">
        <v>1</v>
      </c>
      <c r="C40" t="s">
        <v>247</v>
      </c>
      <c r="D40" t="s">
        <v>136</v>
      </c>
      <c r="E40" t="s">
        <v>225</v>
      </c>
      <c r="F40" t="s">
        <v>226</v>
      </c>
      <c r="G40">
        <v>65563711</v>
      </c>
      <c r="I40" t="s">
        <v>9</v>
      </c>
      <c r="J40" t="s">
        <v>227</v>
      </c>
      <c r="K40">
        <v>100</v>
      </c>
      <c r="L40" t="s">
        <v>228</v>
      </c>
      <c r="M40" s="1">
        <v>41331.631331018521</v>
      </c>
    </row>
    <row r="41" spans="1:13" x14ac:dyDescent="0.25">
      <c r="A41">
        <v>1511</v>
      </c>
      <c r="B41">
        <v>1</v>
      </c>
      <c r="C41" t="s">
        <v>241</v>
      </c>
      <c r="D41" t="s">
        <v>100</v>
      </c>
      <c r="E41" t="s">
        <v>225</v>
      </c>
      <c r="F41" t="s">
        <v>226</v>
      </c>
      <c r="G41">
        <v>65563586</v>
      </c>
      <c r="I41" t="s">
        <v>9</v>
      </c>
      <c r="J41" t="s">
        <v>227</v>
      </c>
      <c r="K41">
        <v>52</v>
      </c>
      <c r="L41" t="s">
        <v>228</v>
      </c>
      <c r="M41" s="1">
        <v>41331.556041666663</v>
      </c>
    </row>
    <row r="42" spans="1:13" x14ac:dyDescent="0.25">
      <c r="A42">
        <v>1509</v>
      </c>
      <c r="B42">
        <v>3</v>
      </c>
      <c r="C42" t="s">
        <v>242</v>
      </c>
      <c r="D42" t="s">
        <v>180</v>
      </c>
      <c r="E42" t="s">
        <v>243</v>
      </c>
      <c r="F42" t="s">
        <v>226</v>
      </c>
      <c r="G42" t="s">
        <v>218</v>
      </c>
      <c r="I42" t="s">
        <v>163</v>
      </c>
      <c r="J42" t="s">
        <v>227</v>
      </c>
      <c r="K42">
        <v>50</v>
      </c>
      <c r="L42" t="s">
        <v>228</v>
      </c>
      <c r="M42" s="1">
        <v>41331.547256944446</v>
      </c>
    </row>
    <row r="43" spans="1:13" x14ac:dyDescent="0.25">
      <c r="A43">
        <v>1508</v>
      </c>
      <c r="B43">
        <v>3</v>
      </c>
      <c r="C43" t="s">
        <v>242</v>
      </c>
      <c r="D43" t="s">
        <v>180</v>
      </c>
      <c r="E43" t="s">
        <v>249</v>
      </c>
      <c r="F43" t="s">
        <v>226</v>
      </c>
      <c r="G43" t="s">
        <v>160</v>
      </c>
      <c r="I43" t="s">
        <v>163</v>
      </c>
      <c r="J43" t="s">
        <v>227</v>
      </c>
      <c r="K43">
        <v>50</v>
      </c>
      <c r="L43" t="s">
        <v>228</v>
      </c>
      <c r="M43" s="1">
        <v>41331.407187500001</v>
      </c>
    </row>
    <row r="44" spans="1:13" x14ac:dyDescent="0.25">
      <c r="A44">
        <v>1507</v>
      </c>
      <c r="B44">
        <v>2</v>
      </c>
      <c r="C44" t="s">
        <v>248</v>
      </c>
      <c r="D44" t="s">
        <v>143</v>
      </c>
      <c r="E44" t="s">
        <v>225</v>
      </c>
      <c r="F44" t="s">
        <v>226</v>
      </c>
      <c r="G44">
        <v>65563402</v>
      </c>
      <c r="I44" t="s">
        <v>9</v>
      </c>
      <c r="J44" t="s">
        <v>227</v>
      </c>
      <c r="K44">
        <v>25</v>
      </c>
      <c r="L44" t="s">
        <v>228</v>
      </c>
      <c r="M44" s="1">
        <v>41331.374444444446</v>
      </c>
    </row>
    <row r="45" spans="1:13" x14ac:dyDescent="0.25">
      <c r="A45">
        <v>1499</v>
      </c>
      <c r="B45">
        <v>1</v>
      </c>
      <c r="C45" t="s">
        <v>250</v>
      </c>
      <c r="D45" t="s">
        <v>154</v>
      </c>
      <c r="E45" t="s">
        <v>225</v>
      </c>
      <c r="F45" t="s">
        <v>226</v>
      </c>
      <c r="G45">
        <v>65561775</v>
      </c>
      <c r="I45" t="s">
        <v>9</v>
      </c>
      <c r="J45" t="s">
        <v>227</v>
      </c>
      <c r="K45">
        <v>50</v>
      </c>
      <c r="L45" t="s">
        <v>228</v>
      </c>
      <c r="M45" s="1">
        <v>41330.39744212963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9" workbookViewId="0">
      <selection activeCell="K1" sqref="K1:K39"/>
    </sheetView>
  </sheetViews>
  <sheetFormatPr defaultRowHeight="15" x14ac:dyDescent="0.25"/>
  <cols>
    <col min="2" max="2" width="9.85546875" bestFit="1" customWidth="1"/>
  </cols>
  <sheetData>
    <row r="1" spans="1:14" s="7" customFormat="1" x14ac:dyDescent="0.25">
      <c r="A1" s="19" t="s">
        <v>250</v>
      </c>
      <c r="B1" s="20">
        <v>41330.39744212963</v>
      </c>
      <c r="C1" s="20">
        <v>41330.39744212963</v>
      </c>
      <c r="D1" s="19" t="s">
        <v>251</v>
      </c>
      <c r="F1" s="19" t="s">
        <v>270</v>
      </c>
      <c r="G1" s="19" t="s">
        <v>271</v>
      </c>
      <c r="K1" s="21">
        <v>50</v>
      </c>
      <c r="L1" s="21">
        <v>0</v>
      </c>
      <c r="M1" s="21">
        <v>0</v>
      </c>
      <c r="N1" s="21">
        <v>50</v>
      </c>
    </row>
    <row r="2" spans="1:14" s="7" customFormat="1" x14ac:dyDescent="0.25">
      <c r="A2" s="19" t="s">
        <v>248</v>
      </c>
      <c r="B2" s="20">
        <v>41331.374432870369</v>
      </c>
      <c r="C2" s="20">
        <v>41331.374432870369</v>
      </c>
      <c r="D2" s="19" t="s">
        <v>251</v>
      </c>
      <c r="F2" s="19" t="s">
        <v>272</v>
      </c>
      <c r="G2" s="19" t="s">
        <v>273</v>
      </c>
      <c r="K2" s="21">
        <v>25</v>
      </c>
      <c r="L2" s="21">
        <v>0</v>
      </c>
      <c r="M2" s="21">
        <v>0</v>
      </c>
      <c r="N2" s="21">
        <v>25</v>
      </c>
    </row>
    <row r="3" spans="1:14" s="7" customFormat="1" x14ac:dyDescent="0.25">
      <c r="A3" s="19" t="s">
        <v>241</v>
      </c>
      <c r="B3" s="20">
        <v>41331.556030092594</v>
      </c>
      <c r="C3" s="20">
        <v>41331.556030092594</v>
      </c>
      <c r="D3" s="19" t="s">
        <v>251</v>
      </c>
      <c r="F3" s="19" t="s">
        <v>274</v>
      </c>
      <c r="G3" s="19" t="s">
        <v>275</v>
      </c>
      <c r="K3" s="21">
        <v>52</v>
      </c>
      <c r="L3" s="21">
        <v>0</v>
      </c>
      <c r="M3" s="21">
        <v>0</v>
      </c>
      <c r="N3" s="21">
        <v>52</v>
      </c>
    </row>
    <row r="4" spans="1:14" s="7" customFormat="1" x14ac:dyDescent="0.25">
      <c r="A4" s="19" t="s">
        <v>247</v>
      </c>
      <c r="B4" s="20">
        <v>41331.631331018521</v>
      </c>
      <c r="C4" s="20">
        <v>41331.631331018521</v>
      </c>
      <c r="D4" s="19" t="s">
        <v>251</v>
      </c>
      <c r="F4" s="19" t="s">
        <v>276</v>
      </c>
      <c r="G4" s="19" t="s">
        <v>277</v>
      </c>
      <c r="K4" s="21">
        <v>100</v>
      </c>
      <c r="L4" s="21">
        <v>0</v>
      </c>
      <c r="M4" s="21">
        <v>0</v>
      </c>
      <c r="N4" s="21">
        <v>100</v>
      </c>
    </row>
    <row r="5" spans="1:14" s="7" customFormat="1" x14ac:dyDescent="0.25">
      <c r="A5" s="19" t="s">
        <v>248</v>
      </c>
      <c r="B5" s="20">
        <v>41331.658888888887</v>
      </c>
      <c r="C5" s="20">
        <v>41331.658888888887</v>
      </c>
      <c r="D5" s="19" t="s">
        <v>251</v>
      </c>
      <c r="F5" s="19" t="s">
        <v>278</v>
      </c>
      <c r="G5" s="19" t="s">
        <v>279</v>
      </c>
      <c r="K5" s="21">
        <v>20</v>
      </c>
      <c r="L5" s="21">
        <v>0</v>
      </c>
      <c r="M5" s="21">
        <v>0</v>
      </c>
      <c r="N5" s="21">
        <v>20</v>
      </c>
    </row>
    <row r="6" spans="1:14" s="7" customFormat="1" x14ac:dyDescent="0.25">
      <c r="A6" s="19" t="s">
        <v>248</v>
      </c>
      <c r="B6" s="20">
        <v>41331.687858796293</v>
      </c>
      <c r="C6" s="20">
        <v>41331.687858796293</v>
      </c>
      <c r="D6" s="19" t="s">
        <v>251</v>
      </c>
      <c r="F6" s="19" t="s">
        <v>280</v>
      </c>
      <c r="G6" s="19" t="s">
        <v>281</v>
      </c>
      <c r="K6" s="21">
        <v>35</v>
      </c>
      <c r="L6" s="21">
        <v>0</v>
      </c>
      <c r="M6" s="21">
        <v>0</v>
      </c>
      <c r="N6" s="21">
        <v>35</v>
      </c>
    </row>
    <row r="7" spans="1:14" s="7" customFormat="1" x14ac:dyDescent="0.25">
      <c r="A7" s="19" t="s">
        <v>247</v>
      </c>
      <c r="B7" s="20">
        <v>41331.734432870369</v>
      </c>
      <c r="C7" s="20">
        <v>41331.734432870369</v>
      </c>
      <c r="D7" s="19" t="s">
        <v>251</v>
      </c>
      <c r="F7" s="19" t="s">
        <v>282</v>
      </c>
      <c r="G7" s="19" t="s">
        <v>283</v>
      </c>
      <c r="K7" s="21">
        <v>100</v>
      </c>
      <c r="L7" s="21">
        <v>0</v>
      </c>
      <c r="M7" s="21">
        <v>0</v>
      </c>
      <c r="N7" s="21">
        <v>100</v>
      </c>
    </row>
    <row r="8" spans="1:14" s="7" customFormat="1" x14ac:dyDescent="0.25">
      <c r="A8" s="19" t="s">
        <v>246</v>
      </c>
      <c r="B8" s="20">
        <v>41331.87462962963</v>
      </c>
      <c r="C8" s="20">
        <v>41331.87462962963</v>
      </c>
      <c r="D8" s="19" t="s">
        <v>251</v>
      </c>
      <c r="F8" s="19" t="s">
        <v>284</v>
      </c>
      <c r="G8" s="19" t="s">
        <v>285</v>
      </c>
      <c r="K8" s="21">
        <v>75</v>
      </c>
      <c r="L8" s="21">
        <v>0</v>
      </c>
      <c r="M8" s="21">
        <v>0</v>
      </c>
      <c r="N8" s="21">
        <v>75</v>
      </c>
    </row>
    <row r="9" spans="1:14" s="7" customFormat="1" x14ac:dyDescent="0.25">
      <c r="A9" s="19" t="s">
        <v>245</v>
      </c>
      <c r="B9" s="20">
        <v>41332.407187500001</v>
      </c>
      <c r="C9" s="20">
        <v>41332.407187500001</v>
      </c>
      <c r="D9" s="19" t="s">
        <v>251</v>
      </c>
      <c r="F9" s="19" t="s">
        <v>286</v>
      </c>
      <c r="G9" s="19" t="s">
        <v>287</v>
      </c>
      <c r="K9" s="21">
        <v>50</v>
      </c>
      <c r="L9" s="21">
        <v>0</v>
      </c>
      <c r="M9" s="21">
        <v>0</v>
      </c>
      <c r="N9" s="21">
        <v>50</v>
      </c>
    </row>
    <row r="10" spans="1:14" s="7" customFormat="1" x14ac:dyDescent="0.25">
      <c r="A10" s="19" t="s">
        <v>238</v>
      </c>
      <c r="B10" s="20">
        <v>41332.644166666665</v>
      </c>
      <c r="C10" s="20">
        <v>41332.644166666665</v>
      </c>
      <c r="D10" s="19" t="s">
        <v>251</v>
      </c>
      <c r="F10" s="19" t="s">
        <v>288</v>
      </c>
      <c r="G10" s="19" t="s">
        <v>289</v>
      </c>
      <c r="K10" s="21">
        <v>92</v>
      </c>
      <c r="L10" s="21">
        <v>0</v>
      </c>
      <c r="M10" s="21">
        <v>0</v>
      </c>
      <c r="N10" s="21">
        <v>92</v>
      </c>
    </row>
    <row r="11" spans="1:14" s="7" customFormat="1" x14ac:dyDescent="0.25">
      <c r="A11" s="19" t="s">
        <v>239</v>
      </c>
      <c r="B11" s="20">
        <v>41332.715543981481</v>
      </c>
      <c r="C11" s="20">
        <v>41332.715543981481</v>
      </c>
      <c r="D11" s="19" t="s">
        <v>251</v>
      </c>
      <c r="F11" s="19" t="s">
        <v>290</v>
      </c>
      <c r="G11" s="19" t="s">
        <v>291</v>
      </c>
      <c r="K11" s="21">
        <v>75</v>
      </c>
      <c r="L11" s="21">
        <v>0</v>
      </c>
      <c r="M11" s="21">
        <v>0</v>
      </c>
      <c r="N11" s="21">
        <v>75</v>
      </c>
    </row>
    <row r="12" spans="1:14" s="7" customFormat="1" x14ac:dyDescent="0.25">
      <c r="A12" s="19" t="s">
        <v>230</v>
      </c>
      <c r="B12" s="20">
        <v>41332.875300925924</v>
      </c>
      <c r="C12" s="20">
        <v>41332.875300925924</v>
      </c>
      <c r="D12" s="19" t="s">
        <v>251</v>
      </c>
      <c r="F12" s="19" t="s">
        <v>292</v>
      </c>
      <c r="G12" s="19" t="s">
        <v>293</v>
      </c>
      <c r="K12" s="21">
        <v>25</v>
      </c>
      <c r="L12" s="21">
        <v>0</v>
      </c>
      <c r="M12" s="21">
        <v>0</v>
      </c>
      <c r="N12" s="21">
        <v>25</v>
      </c>
    </row>
    <row r="13" spans="1:14" s="7" customFormat="1" x14ac:dyDescent="0.25">
      <c r="A13" s="19" t="s">
        <v>241</v>
      </c>
      <c r="B13" s="20">
        <v>41333.436203703706</v>
      </c>
      <c r="C13" s="20">
        <v>41333.436203703706</v>
      </c>
      <c r="D13" s="19" t="s">
        <v>251</v>
      </c>
      <c r="F13" s="19" t="s">
        <v>294</v>
      </c>
      <c r="G13" s="19" t="s">
        <v>295</v>
      </c>
      <c r="K13" s="21">
        <v>48</v>
      </c>
      <c r="L13" s="21">
        <v>0</v>
      </c>
      <c r="M13" s="21">
        <v>0</v>
      </c>
      <c r="N13" s="21">
        <v>48</v>
      </c>
    </row>
    <row r="14" spans="1:14" s="7" customFormat="1" x14ac:dyDescent="0.25">
      <c r="A14" s="19" t="s">
        <v>238</v>
      </c>
      <c r="B14" s="20">
        <v>41333.611886574072</v>
      </c>
      <c r="C14" s="20">
        <v>41333.611886574072</v>
      </c>
      <c r="D14" s="19" t="s">
        <v>251</v>
      </c>
      <c r="F14" s="19" t="s">
        <v>296</v>
      </c>
      <c r="G14" s="19" t="s">
        <v>297</v>
      </c>
      <c r="K14" s="21">
        <v>75</v>
      </c>
      <c r="L14" s="21">
        <v>0</v>
      </c>
      <c r="M14" s="21">
        <v>0</v>
      </c>
      <c r="N14" s="21">
        <v>75</v>
      </c>
    </row>
    <row r="15" spans="1:14" s="7" customFormat="1" x14ac:dyDescent="0.25">
      <c r="A15" s="19" t="s">
        <v>244</v>
      </c>
      <c r="B15" s="20">
        <v>41333.791458333333</v>
      </c>
      <c r="C15" s="20">
        <v>41333.791458333333</v>
      </c>
      <c r="D15" s="19" t="s">
        <v>251</v>
      </c>
      <c r="F15" s="19" t="s">
        <v>298</v>
      </c>
      <c r="G15" s="19" t="s">
        <v>299</v>
      </c>
      <c r="K15" s="21">
        <v>120</v>
      </c>
      <c r="L15" s="21">
        <v>0</v>
      </c>
      <c r="M15" s="21">
        <v>0</v>
      </c>
      <c r="N15" s="21">
        <v>120</v>
      </c>
    </row>
    <row r="16" spans="1:14" s="7" customFormat="1" x14ac:dyDescent="0.25">
      <c r="A16" s="19" t="s">
        <v>224</v>
      </c>
      <c r="B16" s="20">
        <v>41333.8046875</v>
      </c>
      <c r="C16" s="20">
        <v>41333.8046875</v>
      </c>
      <c r="D16" s="19" t="s">
        <v>251</v>
      </c>
      <c r="F16" s="19" t="s">
        <v>300</v>
      </c>
      <c r="G16" s="19" t="s">
        <v>301</v>
      </c>
      <c r="K16" s="21">
        <v>73</v>
      </c>
      <c r="L16" s="21">
        <v>0</v>
      </c>
      <c r="M16" s="21">
        <v>0</v>
      </c>
      <c r="N16" s="21">
        <v>73</v>
      </c>
    </row>
    <row r="17" spans="1:14" s="7" customFormat="1" x14ac:dyDescent="0.25">
      <c r="A17" s="19" t="s">
        <v>239</v>
      </c>
      <c r="B17" s="20">
        <v>41333.86277777778</v>
      </c>
      <c r="C17" s="20">
        <v>41333.86277777778</v>
      </c>
      <c r="D17" s="19" t="s">
        <v>251</v>
      </c>
      <c r="F17" s="19" t="s">
        <v>302</v>
      </c>
      <c r="G17" s="19" t="s">
        <v>303</v>
      </c>
      <c r="K17" s="21">
        <v>77</v>
      </c>
      <c r="L17" s="21">
        <v>0</v>
      </c>
      <c r="M17" s="21">
        <v>0</v>
      </c>
      <c r="N17" s="21">
        <v>77</v>
      </c>
    </row>
    <row r="18" spans="1:14" s="7" customFormat="1" x14ac:dyDescent="0.25">
      <c r="A18" s="19" t="s">
        <v>232</v>
      </c>
      <c r="B18" s="20">
        <v>41334.509930555556</v>
      </c>
      <c r="C18" s="20">
        <v>41334.509930555556</v>
      </c>
      <c r="D18" s="19" t="s">
        <v>251</v>
      </c>
      <c r="F18" s="19" t="s">
        <v>304</v>
      </c>
      <c r="G18" s="19" t="s">
        <v>305</v>
      </c>
      <c r="K18" s="21">
        <v>200</v>
      </c>
      <c r="L18" s="21">
        <v>0</v>
      </c>
      <c r="M18" s="21">
        <v>0</v>
      </c>
      <c r="N18" s="21">
        <v>200</v>
      </c>
    </row>
    <row r="19" spans="1:14" s="7" customFormat="1" x14ac:dyDescent="0.25">
      <c r="A19" s="19" t="s">
        <v>224</v>
      </c>
      <c r="B19" s="20">
        <v>41334.535567129627</v>
      </c>
      <c r="C19" s="20">
        <v>41334.535567129627</v>
      </c>
      <c r="D19" s="19" t="s">
        <v>251</v>
      </c>
      <c r="F19" s="19" t="s">
        <v>306</v>
      </c>
      <c r="G19" s="19" t="s">
        <v>307</v>
      </c>
      <c r="K19" s="21">
        <v>74</v>
      </c>
      <c r="L19" s="21">
        <v>0</v>
      </c>
      <c r="M19" s="21">
        <v>0</v>
      </c>
      <c r="N19" s="21">
        <v>74</v>
      </c>
    </row>
    <row r="20" spans="1:14" s="7" customFormat="1" x14ac:dyDescent="0.25">
      <c r="A20" s="19" t="s">
        <v>241</v>
      </c>
      <c r="B20" s="20">
        <v>41334.667037037034</v>
      </c>
      <c r="C20" s="20">
        <v>41334.667037037034</v>
      </c>
      <c r="D20" s="19" t="s">
        <v>251</v>
      </c>
      <c r="F20" s="19" t="s">
        <v>308</v>
      </c>
      <c r="G20" s="19" t="s">
        <v>309</v>
      </c>
      <c r="K20" s="21">
        <v>67</v>
      </c>
      <c r="L20" s="21">
        <v>0</v>
      </c>
      <c r="M20" s="21">
        <v>0</v>
      </c>
      <c r="N20" s="21">
        <v>67</v>
      </c>
    </row>
    <row r="21" spans="1:14" s="7" customFormat="1" x14ac:dyDescent="0.25">
      <c r="A21" s="19" t="s">
        <v>240</v>
      </c>
      <c r="B21" s="20">
        <v>41334.771423611113</v>
      </c>
      <c r="C21" s="20">
        <v>41334.771423611113</v>
      </c>
      <c r="D21" s="19" t="s">
        <v>251</v>
      </c>
      <c r="F21" s="19" t="s">
        <v>310</v>
      </c>
      <c r="G21" s="19" t="s">
        <v>311</v>
      </c>
      <c r="K21" s="21">
        <v>60</v>
      </c>
      <c r="L21" s="21">
        <v>0</v>
      </c>
      <c r="M21" s="21">
        <v>0</v>
      </c>
      <c r="N21" s="21">
        <v>60</v>
      </c>
    </row>
    <row r="22" spans="1:14" s="7" customFormat="1" x14ac:dyDescent="0.25">
      <c r="A22" s="19" t="s">
        <v>239</v>
      </c>
      <c r="B22" s="20">
        <v>41334.78800925926</v>
      </c>
      <c r="C22" s="20">
        <v>41334.78800925926</v>
      </c>
      <c r="D22" s="19" t="s">
        <v>251</v>
      </c>
      <c r="F22" s="19" t="s">
        <v>312</v>
      </c>
      <c r="G22" s="19" t="s">
        <v>313</v>
      </c>
      <c r="K22" s="21">
        <v>90</v>
      </c>
      <c r="L22" s="21">
        <v>0</v>
      </c>
      <c r="M22" s="21">
        <v>0</v>
      </c>
      <c r="N22" s="21">
        <v>90</v>
      </c>
    </row>
    <row r="23" spans="1:14" s="7" customFormat="1" x14ac:dyDescent="0.25">
      <c r="A23" s="19" t="s">
        <v>236</v>
      </c>
      <c r="B23" s="20">
        <v>41335.447071759256</v>
      </c>
      <c r="C23" s="20">
        <v>41335.447071759256</v>
      </c>
      <c r="D23" s="19" t="s">
        <v>251</v>
      </c>
      <c r="F23" s="19" t="s">
        <v>314</v>
      </c>
      <c r="G23" s="19" t="s">
        <v>315</v>
      </c>
      <c r="K23" s="21">
        <v>50</v>
      </c>
      <c r="L23" s="21">
        <v>0</v>
      </c>
      <c r="M23" s="21">
        <v>0</v>
      </c>
      <c r="N23" s="21">
        <v>50</v>
      </c>
    </row>
    <row r="24" spans="1:14" s="7" customFormat="1" x14ac:dyDescent="0.25">
      <c r="A24" s="19" t="s">
        <v>238</v>
      </c>
      <c r="B24" s="20">
        <v>41335.479548611111</v>
      </c>
      <c r="C24" s="20">
        <v>41335.479548611111</v>
      </c>
      <c r="D24" s="19" t="s">
        <v>251</v>
      </c>
      <c r="F24" s="19" t="s">
        <v>316</v>
      </c>
      <c r="G24" s="19" t="s">
        <v>317</v>
      </c>
      <c r="K24" s="21">
        <v>53</v>
      </c>
      <c r="L24" s="21">
        <v>0</v>
      </c>
      <c r="M24" s="21">
        <v>0</v>
      </c>
      <c r="N24" s="21">
        <v>53</v>
      </c>
    </row>
    <row r="25" spans="1:14" s="7" customFormat="1" x14ac:dyDescent="0.25">
      <c r="A25" s="19" t="s">
        <v>236</v>
      </c>
      <c r="B25" s="20">
        <v>41335.537164351852</v>
      </c>
      <c r="C25" s="20">
        <v>41335.537164351852</v>
      </c>
      <c r="D25" s="19" t="s">
        <v>251</v>
      </c>
      <c r="F25" s="19" t="s">
        <v>318</v>
      </c>
      <c r="G25" s="19" t="s">
        <v>319</v>
      </c>
      <c r="K25" s="21">
        <v>50</v>
      </c>
      <c r="L25" s="21">
        <v>0</v>
      </c>
      <c r="M25" s="21">
        <v>0</v>
      </c>
      <c r="N25" s="21">
        <v>50</v>
      </c>
    </row>
    <row r="26" spans="1:14" s="7" customFormat="1" x14ac:dyDescent="0.25">
      <c r="A26" s="19" t="s">
        <v>237</v>
      </c>
      <c r="B26" s="20">
        <v>41335.54583333333</v>
      </c>
      <c r="C26" s="20">
        <v>41335.54583333333</v>
      </c>
      <c r="D26" s="19" t="s">
        <v>251</v>
      </c>
      <c r="F26" s="19" t="s">
        <v>320</v>
      </c>
      <c r="G26" s="19" t="s">
        <v>321</v>
      </c>
      <c r="K26" s="21">
        <v>50</v>
      </c>
      <c r="L26" s="21">
        <v>0</v>
      </c>
      <c r="M26" s="21">
        <v>0</v>
      </c>
      <c r="N26" s="21">
        <v>50</v>
      </c>
    </row>
    <row r="27" spans="1:14" s="7" customFormat="1" x14ac:dyDescent="0.25">
      <c r="A27" s="19" t="s">
        <v>236</v>
      </c>
      <c r="B27" s="20">
        <v>41335.599305555559</v>
      </c>
      <c r="C27" s="20">
        <v>41335.599305555559</v>
      </c>
      <c r="D27" s="19" t="s">
        <v>251</v>
      </c>
      <c r="F27" s="19" t="s">
        <v>322</v>
      </c>
      <c r="G27" s="19" t="s">
        <v>323</v>
      </c>
      <c r="K27" s="21">
        <v>50</v>
      </c>
      <c r="L27" s="21">
        <v>0</v>
      </c>
      <c r="M27" s="21">
        <v>0</v>
      </c>
      <c r="N27" s="21">
        <v>50</v>
      </c>
    </row>
    <row r="28" spans="1:14" s="7" customFormat="1" x14ac:dyDescent="0.25">
      <c r="A28" s="19" t="s">
        <v>229</v>
      </c>
      <c r="B28" s="20">
        <v>41335.647465277776</v>
      </c>
      <c r="C28" s="20">
        <v>41335.647465277776</v>
      </c>
      <c r="D28" s="19" t="s">
        <v>251</v>
      </c>
      <c r="F28" s="19" t="s">
        <v>324</v>
      </c>
      <c r="G28" s="19" t="s">
        <v>325</v>
      </c>
      <c r="K28" s="21">
        <v>102</v>
      </c>
      <c r="L28" s="21">
        <v>0</v>
      </c>
      <c r="M28" s="21">
        <v>0</v>
      </c>
      <c r="N28" s="21">
        <v>102</v>
      </c>
    </row>
    <row r="29" spans="1:14" s="7" customFormat="1" x14ac:dyDescent="0.25">
      <c r="A29" s="19" t="s">
        <v>236</v>
      </c>
      <c r="B29" s="20">
        <v>41335.655949074076</v>
      </c>
      <c r="C29" s="20">
        <v>41335.655949074076</v>
      </c>
      <c r="D29" s="19" t="s">
        <v>251</v>
      </c>
      <c r="F29" s="19" t="s">
        <v>326</v>
      </c>
      <c r="G29" s="19" t="s">
        <v>327</v>
      </c>
      <c r="K29" s="21">
        <v>50</v>
      </c>
      <c r="L29" s="21">
        <v>0</v>
      </c>
      <c r="M29" s="21">
        <v>0</v>
      </c>
      <c r="N29" s="21">
        <v>50</v>
      </c>
    </row>
    <row r="30" spans="1:14" s="7" customFormat="1" x14ac:dyDescent="0.25">
      <c r="A30" s="19" t="s">
        <v>235</v>
      </c>
      <c r="B30" s="20">
        <v>41335.686701388891</v>
      </c>
      <c r="C30" s="20">
        <v>41335.686701388891</v>
      </c>
      <c r="D30" s="19" t="s">
        <v>251</v>
      </c>
      <c r="F30" s="19" t="s">
        <v>328</v>
      </c>
      <c r="G30" s="19" t="s">
        <v>329</v>
      </c>
      <c r="K30" s="21">
        <v>50</v>
      </c>
      <c r="L30" s="21">
        <v>0</v>
      </c>
      <c r="M30" s="21">
        <v>0</v>
      </c>
      <c r="N30" s="21">
        <v>50</v>
      </c>
    </row>
    <row r="31" spans="1:14" s="7" customFormat="1" x14ac:dyDescent="0.25">
      <c r="A31" s="19" t="s">
        <v>234</v>
      </c>
      <c r="B31" s="20">
        <v>41335.774328703701</v>
      </c>
      <c r="C31" s="20">
        <v>41335.774328703701</v>
      </c>
      <c r="D31" s="19" t="s">
        <v>251</v>
      </c>
      <c r="F31" s="19" t="s">
        <v>330</v>
      </c>
      <c r="G31" s="19" t="s">
        <v>331</v>
      </c>
      <c r="K31" s="21">
        <v>150</v>
      </c>
      <c r="L31" s="21">
        <v>0</v>
      </c>
      <c r="M31" s="21">
        <v>0</v>
      </c>
      <c r="N31" s="21">
        <v>150</v>
      </c>
    </row>
    <row r="32" spans="1:14" s="7" customFormat="1" x14ac:dyDescent="0.25">
      <c r="A32" s="19" t="s">
        <v>233</v>
      </c>
      <c r="B32" s="20">
        <v>41335.794560185182</v>
      </c>
      <c r="C32" s="20">
        <v>41335.794560185182</v>
      </c>
      <c r="D32" s="19" t="s">
        <v>251</v>
      </c>
      <c r="F32" s="19" t="s">
        <v>332</v>
      </c>
      <c r="G32" s="19" t="s">
        <v>333</v>
      </c>
      <c r="K32" s="21">
        <v>50</v>
      </c>
      <c r="L32" s="21">
        <v>0</v>
      </c>
      <c r="M32" s="21">
        <v>0</v>
      </c>
      <c r="N32" s="21">
        <v>50</v>
      </c>
    </row>
    <row r="33" spans="1:14" s="7" customFormat="1" x14ac:dyDescent="0.25">
      <c r="A33" s="19" t="s">
        <v>232</v>
      </c>
      <c r="B33" s="20">
        <v>41335.97146990741</v>
      </c>
      <c r="C33" s="20">
        <v>41335.97146990741</v>
      </c>
      <c r="D33" s="19" t="s">
        <v>251</v>
      </c>
      <c r="F33" s="19" t="s">
        <v>334</v>
      </c>
      <c r="G33" s="19" t="s">
        <v>335</v>
      </c>
      <c r="K33" s="21">
        <v>25</v>
      </c>
      <c r="L33" s="21">
        <v>0</v>
      </c>
      <c r="M33" s="21">
        <v>0</v>
      </c>
      <c r="N33" s="21">
        <v>25</v>
      </c>
    </row>
    <row r="34" spans="1:14" s="7" customFormat="1" x14ac:dyDescent="0.25">
      <c r="A34" s="19" t="s">
        <v>231</v>
      </c>
      <c r="B34" s="20">
        <v>41336.477858796294</v>
      </c>
      <c r="C34" s="20">
        <v>41336.477858796294</v>
      </c>
      <c r="D34" s="19" t="s">
        <v>251</v>
      </c>
      <c r="F34" s="19" t="s">
        <v>336</v>
      </c>
      <c r="G34" s="19" t="s">
        <v>337</v>
      </c>
      <c r="K34" s="21">
        <v>60</v>
      </c>
      <c r="L34" s="21">
        <v>0</v>
      </c>
      <c r="M34" s="21">
        <v>0</v>
      </c>
      <c r="N34" s="21">
        <v>60</v>
      </c>
    </row>
    <row r="35" spans="1:14" s="7" customFormat="1" x14ac:dyDescent="0.25">
      <c r="A35" s="19" t="s">
        <v>224</v>
      </c>
      <c r="B35" s="20">
        <v>41336.538495370369</v>
      </c>
      <c r="C35" s="20">
        <v>41336.538495370369</v>
      </c>
      <c r="D35" s="19" t="s">
        <v>251</v>
      </c>
      <c r="F35" s="19" t="s">
        <v>338</v>
      </c>
      <c r="G35" s="19" t="s">
        <v>339</v>
      </c>
      <c r="K35" s="21">
        <v>74</v>
      </c>
      <c r="L35" s="21">
        <v>0</v>
      </c>
      <c r="M35" s="21">
        <v>0</v>
      </c>
      <c r="N35" s="21">
        <v>74</v>
      </c>
    </row>
    <row r="36" spans="1:14" s="7" customFormat="1" x14ac:dyDescent="0.25">
      <c r="A36" s="19" t="s">
        <v>230</v>
      </c>
      <c r="B36" s="20">
        <v>41336.58011574074</v>
      </c>
      <c r="C36" s="20">
        <v>41336.58011574074</v>
      </c>
      <c r="D36" s="19" t="s">
        <v>251</v>
      </c>
      <c r="F36" s="19" t="s">
        <v>340</v>
      </c>
      <c r="G36" s="19" t="s">
        <v>341</v>
      </c>
      <c r="K36" s="21">
        <v>20</v>
      </c>
      <c r="L36" s="21">
        <v>0</v>
      </c>
      <c r="M36" s="21">
        <v>0</v>
      </c>
      <c r="N36" s="21">
        <v>20</v>
      </c>
    </row>
    <row r="37" spans="1:14" s="7" customFormat="1" x14ac:dyDescent="0.25">
      <c r="A37" s="19" t="s">
        <v>229</v>
      </c>
      <c r="B37" s="20">
        <v>41336.752870370372</v>
      </c>
      <c r="C37" s="20">
        <v>41336.752870370372</v>
      </c>
      <c r="D37" s="19" t="s">
        <v>251</v>
      </c>
      <c r="F37" s="19" t="s">
        <v>342</v>
      </c>
      <c r="G37" s="19" t="s">
        <v>343</v>
      </c>
      <c r="K37" s="21">
        <v>102</v>
      </c>
      <c r="L37" s="21">
        <v>0</v>
      </c>
      <c r="M37" s="21">
        <v>0</v>
      </c>
      <c r="N37" s="21">
        <v>102</v>
      </c>
    </row>
    <row r="38" spans="1:14" s="7" customFormat="1" x14ac:dyDescent="0.25">
      <c r="A38" s="19" t="s">
        <v>229</v>
      </c>
      <c r="B38" s="20">
        <v>41336.874467592592</v>
      </c>
      <c r="C38" s="20">
        <v>41336.874467592592</v>
      </c>
      <c r="D38" s="19" t="s">
        <v>251</v>
      </c>
      <c r="F38" s="19" t="s">
        <v>344</v>
      </c>
      <c r="G38" s="19" t="s">
        <v>345</v>
      </c>
      <c r="K38" s="21">
        <v>102</v>
      </c>
      <c r="L38" s="21">
        <v>0</v>
      </c>
      <c r="M38" s="21">
        <v>0</v>
      </c>
      <c r="N38" s="21">
        <v>102</v>
      </c>
    </row>
    <row r="39" spans="1:14" s="7" customFormat="1" x14ac:dyDescent="0.25">
      <c r="A39" s="19" t="s">
        <v>224</v>
      </c>
      <c r="B39" s="20">
        <v>41336.898344907408</v>
      </c>
      <c r="C39" s="20">
        <v>41336.898344907408</v>
      </c>
      <c r="D39" s="19" t="s">
        <v>251</v>
      </c>
      <c r="F39" s="19" t="s">
        <v>346</v>
      </c>
      <c r="G39" s="19" t="s">
        <v>347</v>
      </c>
      <c r="K39" s="21">
        <v>74</v>
      </c>
      <c r="L39" s="21">
        <v>0</v>
      </c>
      <c r="M39" s="21">
        <v>0</v>
      </c>
      <c r="N39" s="21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K1" sqref="K1"/>
    </sheetView>
  </sheetViews>
  <sheetFormatPr defaultRowHeight="15" x14ac:dyDescent="0.25"/>
  <sheetData>
    <row r="1" spans="1:14" s="7" customFormat="1" x14ac:dyDescent="0.25">
      <c r="A1" s="5" t="s">
        <v>242</v>
      </c>
      <c r="B1" s="6">
        <v>41331.40729166667</v>
      </c>
      <c r="C1" s="6">
        <v>41331.40729166667</v>
      </c>
      <c r="D1" s="5" t="s">
        <v>252</v>
      </c>
      <c r="F1" s="5" t="s">
        <v>253</v>
      </c>
      <c r="G1" s="5" t="s">
        <v>254</v>
      </c>
      <c r="K1" s="8">
        <v>50</v>
      </c>
      <c r="L1" s="8">
        <v>0</v>
      </c>
      <c r="M1" s="8">
        <v>0</v>
      </c>
      <c r="N1" s="8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selection activeCell="K1" sqref="K1:K5"/>
    </sheetView>
  </sheetViews>
  <sheetFormatPr defaultRowHeight="15" x14ac:dyDescent="0.25"/>
  <sheetData>
    <row r="1" spans="1:14" s="7" customFormat="1" x14ac:dyDescent="0.25">
      <c r="A1" s="5" t="s">
        <v>242</v>
      </c>
      <c r="B1" s="6">
        <v>41331.547361111108</v>
      </c>
      <c r="C1" s="6">
        <v>41331.547361111108</v>
      </c>
      <c r="D1" s="5" t="s">
        <v>255</v>
      </c>
      <c r="F1" s="5" t="s">
        <v>256</v>
      </c>
      <c r="G1" s="5" t="s">
        <v>257</v>
      </c>
      <c r="K1" s="8">
        <v>50</v>
      </c>
      <c r="L1" s="8">
        <v>0</v>
      </c>
      <c r="M1" s="8">
        <v>0</v>
      </c>
      <c r="N1" s="8">
        <v>50</v>
      </c>
    </row>
    <row r="2" spans="1:14" s="7" customFormat="1" x14ac:dyDescent="0.25">
      <c r="A2" s="5" t="s">
        <v>242</v>
      </c>
      <c r="B2" s="6">
        <v>41331.793680555558</v>
      </c>
      <c r="C2" s="6">
        <v>41331.793680555558</v>
      </c>
      <c r="D2" s="5" t="s">
        <v>255</v>
      </c>
      <c r="F2" s="5" t="s">
        <v>258</v>
      </c>
      <c r="G2" s="5" t="s">
        <v>259</v>
      </c>
      <c r="K2" s="8">
        <v>50</v>
      </c>
      <c r="L2" s="8">
        <v>0</v>
      </c>
      <c r="M2" s="8">
        <v>0</v>
      </c>
      <c r="N2" s="8">
        <v>50</v>
      </c>
    </row>
    <row r="3" spans="1:14" s="7" customFormat="1" x14ac:dyDescent="0.25">
      <c r="A3" s="5" t="s">
        <v>242</v>
      </c>
      <c r="B3" s="6">
        <v>41332.531701388885</v>
      </c>
      <c r="C3" s="6">
        <v>41332.531701388885</v>
      </c>
      <c r="D3" s="5" t="s">
        <v>255</v>
      </c>
      <c r="F3" s="5" t="s">
        <v>260</v>
      </c>
      <c r="G3" s="5" t="s">
        <v>261</v>
      </c>
      <c r="K3" s="8">
        <v>50</v>
      </c>
      <c r="L3" s="8">
        <v>0</v>
      </c>
      <c r="M3" s="8">
        <v>0</v>
      </c>
      <c r="N3" s="8">
        <v>50</v>
      </c>
    </row>
    <row r="4" spans="1:14" s="7" customFormat="1" x14ac:dyDescent="0.25">
      <c r="A4" s="5" t="s">
        <v>242</v>
      </c>
      <c r="B4" s="6">
        <v>41332.759965277779</v>
      </c>
      <c r="C4" s="6">
        <v>41332.759965277779</v>
      </c>
      <c r="D4" s="5" t="s">
        <v>255</v>
      </c>
      <c r="F4" s="5" t="s">
        <v>262</v>
      </c>
      <c r="G4" s="5" t="s">
        <v>263</v>
      </c>
      <c r="K4" s="8">
        <v>70</v>
      </c>
      <c r="L4" s="8">
        <v>0</v>
      </c>
      <c r="M4" s="8">
        <v>0</v>
      </c>
      <c r="N4" s="8">
        <v>70</v>
      </c>
    </row>
    <row r="5" spans="1:14" s="7" customFormat="1" x14ac:dyDescent="0.25">
      <c r="A5" s="5" t="s">
        <v>242</v>
      </c>
      <c r="B5" s="6">
        <v>41334.460092592592</v>
      </c>
      <c r="C5" s="6">
        <v>41334.460092592592</v>
      </c>
      <c r="D5" s="5" t="s">
        <v>255</v>
      </c>
      <c r="F5" s="5" t="s">
        <v>264</v>
      </c>
      <c r="G5" s="5" t="s">
        <v>265</v>
      </c>
      <c r="K5" s="8">
        <v>55</v>
      </c>
      <c r="L5" s="8">
        <v>0</v>
      </c>
      <c r="M5" s="8">
        <v>0</v>
      </c>
      <c r="N5" s="8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51"/>
  <sheetViews>
    <sheetView tabSelected="1" workbookViewId="0">
      <selection activeCell="E11" sqref="E11"/>
    </sheetView>
  </sheetViews>
  <sheetFormatPr defaultRowHeight="15" x14ac:dyDescent="0.25"/>
  <sheetData>
    <row r="2" spans="1:2" x14ac:dyDescent="0.25">
      <c r="A2" t="s">
        <v>225</v>
      </c>
      <c r="B2">
        <f>SUM(DNP!N1:N39)</f>
        <v>2695</v>
      </c>
    </row>
    <row r="3" spans="1:2" x14ac:dyDescent="0.25">
      <c r="A3" t="s">
        <v>249</v>
      </c>
      <c r="B3">
        <f>SUM(QP!F1)</f>
        <v>49.94</v>
      </c>
    </row>
    <row r="4" spans="1:2" x14ac:dyDescent="0.25">
      <c r="A4" t="s">
        <v>243</v>
      </c>
      <c r="B4">
        <f>SUM('QP1'!F1:F5)</f>
        <v>274.83999999999997</v>
      </c>
    </row>
    <row r="6" spans="1:2" x14ac:dyDescent="0.25">
      <c r="B6" s="10">
        <f>SUM(B2:B4)</f>
        <v>3019.78</v>
      </c>
    </row>
    <row r="8" spans="1:2" x14ac:dyDescent="0.25">
      <c r="A8" t="s">
        <v>266</v>
      </c>
      <c r="B8" s="10">
        <f>SUM(DF!K1:K45)</f>
        <v>3020</v>
      </c>
    </row>
    <row r="10" spans="1:2" x14ac:dyDescent="0.25">
      <c r="A10" t="s">
        <v>267</v>
      </c>
      <c r="B10" s="9">
        <f>SUM(DGSDNP!K1:K39)</f>
        <v>2695</v>
      </c>
    </row>
    <row r="11" spans="1:2" x14ac:dyDescent="0.25">
      <c r="A11" t="s">
        <v>268</v>
      </c>
      <c r="B11" s="9">
        <f>SUM(DGSQP!K1)</f>
        <v>50</v>
      </c>
    </row>
    <row r="12" spans="1:2" x14ac:dyDescent="0.25">
      <c r="A12" t="s">
        <v>269</v>
      </c>
      <c r="B12" s="9">
        <f>SUM(DGSQP1!K1:K5)</f>
        <v>275</v>
      </c>
    </row>
    <row r="14" spans="1:2" x14ac:dyDescent="0.25">
      <c r="B14" s="22">
        <f>SUM(B10:B12)</f>
        <v>3020</v>
      </c>
    </row>
    <row r="16" spans="1:2" s="10" customFormat="1" x14ac:dyDescent="0.25"/>
    <row r="17" spans="1:3" s="10" customFormat="1" x14ac:dyDescent="0.25">
      <c r="A17" s="10">
        <v>1499</v>
      </c>
      <c r="B17" s="10" t="s">
        <v>225</v>
      </c>
      <c r="C17" s="10">
        <v>50</v>
      </c>
    </row>
    <row r="18" spans="1:3" s="10" customFormat="1" x14ac:dyDescent="0.25">
      <c r="A18" s="15">
        <v>1499</v>
      </c>
      <c r="B18" s="13" t="s">
        <v>267</v>
      </c>
      <c r="C18" s="16">
        <v>50</v>
      </c>
    </row>
    <row r="19" spans="1:3" s="10" customFormat="1" x14ac:dyDescent="0.25">
      <c r="A19" s="14">
        <v>1499</v>
      </c>
      <c r="B19" s="14" t="s">
        <v>266</v>
      </c>
      <c r="C19" s="14">
        <v>50</v>
      </c>
    </row>
    <row r="20" spans="1:3" s="10" customFormat="1" x14ac:dyDescent="0.25">
      <c r="A20" s="10">
        <v>1507</v>
      </c>
      <c r="B20" s="10" t="s">
        <v>225</v>
      </c>
      <c r="C20" s="10">
        <v>25</v>
      </c>
    </row>
    <row r="21" spans="1:3" s="10" customFormat="1" x14ac:dyDescent="0.25">
      <c r="A21" s="15">
        <v>1507</v>
      </c>
      <c r="B21" s="13" t="s">
        <v>267</v>
      </c>
      <c r="C21" s="16">
        <v>25</v>
      </c>
    </row>
    <row r="22" spans="1:3" s="10" customFormat="1" x14ac:dyDescent="0.25">
      <c r="A22" s="14">
        <v>1507</v>
      </c>
      <c r="B22" s="14" t="s">
        <v>266</v>
      </c>
      <c r="C22" s="14">
        <v>25</v>
      </c>
    </row>
    <row r="23" spans="1:3" s="10" customFormat="1" x14ac:dyDescent="0.25">
      <c r="A23" s="11" t="s">
        <v>161</v>
      </c>
      <c r="B23" s="10" t="s">
        <v>249</v>
      </c>
      <c r="C23" s="12">
        <v>49.94</v>
      </c>
    </row>
    <row r="24" spans="1:3" s="10" customFormat="1" x14ac:dyDescent="0.25">
      <c r="A24" s="15">
        <v>1508</v>
      </c>
      <c r="B24" s="13" t="s">
        <v>268</v>
      </c>
      <c r="C24" s="16">
        <v>50</v>
      </c>
    </row>
    <row r="25" spans="1:3" s="10" customFormat="1" x14ac:dyDescent="0.25">
      <c r="A25" s="14">
        <v>1508</v>
      </c>
      <c r="B25" s="14" t="s">
        <v>266</v>
      </c>
      <c r="C25" s="14">
        <v>50</v>
      </c>
    </row>
    <row r="26" spans="1:3" s="10" customFormat="1" x14ac:dyDescent="0.25">
      <c r="A26" s="11" t="s">
        <v>219</v>
      </c>
      <c r="B26" s="10" t="s">
        <v>243</v>
      </c>
      <c r="C26" s="12">
        <v>49.99</v>
      </c>
    </row>
    <row r="27" spans="1:3" s="10" customFormat="1" x14ac:dyDescent="0.25">
      <c r="A27" s="15">
        <v>1509</v>
      </c>
      <c r="B27" s="13" t="s">
        <v>269</v>
      </c>
      <c r="C27" s="16">
        <v>50</v>
      </c>
    </row>
    <row r="28" spans="1:3" s="10" customFormat="1" x14ac:dyDescent="0.25">
      <c r="A28" s="14">
        <v>1509</v>
      </c>
      <c r="B28" s="14" t="s">
        <v>266</v>
      </c>
      <c r="C28" s="14">
        <v>50</v>
      </c>
    </row>
    <row r="29" spans="1:3" s="10" customFormat="1" x14ac:dyDescent="0.25">
      <c r="A29" s="10">
        <v>1511</v>
      </c>
      <c r="B29" s="10" t="s">
        <v>225</v>
      </c>
      <c r="C29" s="10">
        <v>52</v>
      </c>
    </row>
    <row r="30" spans="1:3" s="10" customFormat="1" x14ac:dyDescent="0.25">
      <c r="A30" s="15">
        <v>1511</v>
      </c>
      <c r="B30" s="13" t="s">
        <v>267</v>
      </c>
      <c r="C30" s="16">
        <v>52</v>
      </c>
    </row>
    <row r="31" spans="1:3" s="10" customFormat="1" x14ac:dyDescent="0.25">
      <c r="A31" s="14">
        <v>1511</v>
      </c>
      <c r="B31" s="14" t="s">
        <v>266</v>
      </c>
      <c r="C31" s="14">
        <v>52</v>
      </c>
    </row>
    <row r="32" spans="1:3" s="10" customFormat="1" x14ac:dyDescent="0.25">
      <c r="A32" s="10">
        <v>1514</v>
      </c>
      <c r="B32" s="10" t="s">
        <v>225</v>
      </c>
      <c r="C32" s="10">
        <v>100</v>
      </c>
    </row>
    <row r="33" spans="1:3" s="10" customFormat="1" x14ac:dyDescent="0.25">
      <c r="A33" s="15">
        <v>1514</v>
      </c>
      <c r="B33" s="13" t="s">
        <v>267</v>
      </c>
      <c r="C33" s="16">
        <v>100</v>
      </c>
    </row>
    <row r="34" spans="1:3" s="10" customFormat="1" x14ac:dyDescent="0.25">
      <c r="A34" s="14">
        <v>1514</v>
      </c>
      <c r="B34" s="14" t="s">
        <v>266</v>
      </c>
      <c r="C34" s="14">
        <v>100</v>
      </c>
    </row>
    <row r="35" spans="1:3" s="10" customFormat="1" x14ac:dyDescent="0.25">
      <c r="A35" s="10">
        <v>1517</v>
      </c>
      <c r="B35" s="10" t="s">
        <v>225</v>
      </c>
      <c r="C35" s="10">
        <v>20</v>
      </c>
    </row>
    <row r="36" spans="1:3" s="10" customFormat="1" x14ac:dyDescent="0.25">
      <c r="A36" s="15">
        <v>1517</v>
      </c>
      <c r="B36" s="13" t="s">
        <v>267</v>
      </c>
      <c r="C36" s="16">
        <v>20</v>
      </c>
    </row>
    <row r="37" spans="1:3" s="10" customFormat="1" x14ac:dyDescent="0.25">
      <c r="A37" s="14">
        <v>1517</v>
      </c>
      <c r="B37" s="14" t="s">
        <v>266</v>
      </c>
      <c r="C37" s="14">
        <v>20</v>
      </c>
    </row>
    <row r="38" spans="1:3" s="10" customFormat="1" x14ac:dyDescent="0.25">
      <c r="A38" s="10">
        <v>1520</v>
      </c>
      <c r="B38" s="10" t="s">
        <v>225</v>
      </c>
      <c r="C38" s="10">
        <v>35</v>
      </c>
    </row>
    <row r="39" spans="1:3" s="10" customFormat="1" x14ac:dyDescent="0.25">
      <c r="A39" s="15">
        <v>1520</v>
      </c>
      <c r="B39" s="13" t="s">
        <v>267</v>
      </c>
      <c r="C39" s="16">
        <v>35</v>
      </c>
    </row>
    <row r="40" spans="1:3" s="10" customFormat="1" x14ac:dyDescent="0.25">
      <c r="A40" s="14">
        <v>1520</v>
      </c>
      <c r="B40" s="14" t="s">
        <v>266</v>
      </c>
      <c r="C40" s="14">
        <v>35</v>
      </c>
    </row>
    <row r="41" spans="1:3" s="10" customFormat="1" x14ac:dyDescent="0.25">
      <c r="A41" s="10">
        <v>1523</v>
      </c>
      <c r="B41" s="10" t="s">
        <v>225</v>
      </c>
      <c r="C41" s="10">
        <v>100</v>
      </c>
    </row>
    <row r="42" spans="1:3" s="10" customFormat="1" x14ac:dyDescent="0.25">
      <c r="A42" s="15">
        <v>1523</v>
      </c>
      <c r="B42" s="13" t="s">
        <v>267</v>
      </c>
      <c r="C42" s="16">
        <v>100</v>
      </c>
    </row>
    <row r="43" spans="1:3" s="10" customFormat="1" x14ac:dyDescent="0.25">
      <c r="A43" s="14">
        <v>1523</v>
      </c>
      <c r="B43" s="14" t="s">
        <v>266</v>
      </c>
      <c r="C43" s="14">
        <v>100</v>
      </c>
    </row>
    <row r="44" spans="1:3" s="10" customFormat="1" x14ac:dyDescent="0.25">
      <c r="A44" s="11" t="s">
        <v>213</v>
      </c>
      <c r="B44" s="10" t="s">
        <v>243</v>
      </c>
      <c r="C44" s="12">
        <v>49.98</v>
      </c>
    </row>
    <row r="45" spans="1:3" s="10" customFormat="1" x14ac:dyDescent="0.25">
      <c r="A45" s="15">
        <v>1524</v>
      </c>
      <c r="B45" s="13" t="s">
        <v>269</v>
      </c>
      <c r="C45" s="16">
        <v>50</v>
      </c>
    </row>
    <row r="46" spans="1:3" s="10" customFormat="1" x14ac:dyDescent="0.25">
      <c r="A46" s="14">
        <v>1524</v>
      </c>
      <c r="B46" s="14" t="s">
        <v>266</v>
      </c>
      <c r="C46" s="14">
        <v>50</v>
      </c>
    </row>
    <row r="47" spans="1:3" s="10" customFormat="1" x14ac:dyDescent="0.25">
      <c r="A47" s="10">
        <v>1526</v>
      </c>
      <c r="B47" s="10" t="s">
        <v>225</v>
      </c>
      <c r="C47" s="10">
        <v>75</v>
      </c>
    </row>
    <row r="48" spans="1:3" s="10" customFormat="1" x14ac:dyDescent="0.25">
      <c r="A48" s="15">
        <v>1526</v>
      </c>
      <c r="B48" s="13" t="s">
        <v>267</v>
      </c>
      <c r="C48" s="16">
        <v>75</v>
      </c>
    </row>
    <row r="49" spans="1:3" s="10" customFormat="1" x14ac:dyDescent="0.25">
      <c r="A49" s="14">
        <v>1526</v>
      </c>
      <c r="B49" s="14" t="s">
        <v>266</v>
      </c>
      <c r="C49" s="14">
        <v>75</v>
      </c>
    </row>
    <row r="50" spans="1:3" s="10" customFormat="1" x14ac:dyDescent="0.25">
      <c r="A50" s="10">
        <v>1532</v>
      </c>
      <c r="B50" s="10" t="s">
        <v>225</v>
      </c>
      <c r="C50" s="10">
        <v>50</v>
      </c>
    </row>
    <row r="51" spans="1:3" s="10" customFormat="1" x14ac:dyDescent="0.25">
      <c r="A51" s="15">
        <v>1532</v>
      </c>
      <c r="B51" s="13" t="s">
        <v>267</v>
      </c>
      <c r="C51" s="16">
        <v>50</v>
      </c>
    </row>
    <row r="52" spans="1:3" s="10" customFormat="1" x14ac:dyDescent="0.25">
      <c r="A52" s="14">
        <v>1532</v>
      </c>
      <c r="B52" s="14" t="s">
        <v>266</v>
      </c>
      <c r="C52" s="14">
        <v>50</v>
      </c>
    </row>
    <row r="53" spans="1:3" s="10" customFormat="1" x14ac:dyDescent="0.25">
      <c r="A53" s="11" t="s">
        <v>206</v>
      </c>
      <c r="B53" s="10" t="s">
        <v>243</v>
      </c>
      <c r="C53" s="12">
        <v>49.98</v>
      </c>
    </row>
    <row r="54" spans="1:3" s="10" customFormat="1" x14ac:dyDescent="0.25">
      <c r="A54" s="15">
        <v>1533</v>
      </c>
      <c r="B54" s="13" t="s">
        <v>269</v>
      </c>
      <c r="C54" s="16">
        <v>50</v>
      </c>
    </row>
    <row r="55" spans="1:3" s="10" customFormat="1" x14ac:dyDescent="0.25">
      <c r="A55" s="14">
        <v>1533</v>
      </c>
      <c r="B55" s="14" t="s">
        <v>266</v>
      </c>
      <c r="C55" s="14">
        <v>50</v>
      </c>
    </row>
    <row r="56" spans="1:3" s="10" customFormat="1" x14ac:dyDescent="0.25">
      <c r="A56" s="10">
        <v>1535</v>
      </c>
      <c r="B56" s="10" t="s">
        <v>225</v>
      </c>
      <c r="C56" s="10">
        <v>92</v>
      </c>
    </row>
    <row r="57" spans="1:3" s="10" customFormat="1" x14ac:dyDescent="0.25">
      <c r="A57" s="15">
        <v>1535</v>
      </c>
      <c r="B57" s="13" t="s">
        <v>267</v>
      </c>
      <c r="C57" s="16">
        <v>92</v>
      </c>
    </row>
    <row r="58" spans="1:3" s="10" customFormat="1" x14ac:dyDescent="0.25">
      <c r="A58" s="14">
        <v>1535</v>
      </c>
      <c r="B58" s="14" t="s">
        <v>266</v>
      </c>
      <c r="C58" s="14">
        <v>92</v>
      </c>
    </row>
    <row r="59" spans="1:3" s="10" customFormat="1" x14ac:dyDescent="0.25">
      <c r="A59" s="10">
        <v>1537</v>
      </c>
      <c r="B59" s="10" t="s">
        <v>225</v>
      </c>
      <c r="C59" s="10">
        <v>75</v>
      </c>
    </row>
    <row r="60" spans="1:3" s="13" customFormat="1" x14ac:dyDescent="0.25">
      <c r="A60" s="15">
        <v>1537</v>
      </c>
      <c r="B60" s="13" t="s">
        <v>267</v>
      </c>
      <c r="C60" s="16">
        <v>75</v>
      </c>
    </row>
    <row r="61" spans="1:3" s="13" customFormat="1" x14ac:dyDescent="0.25">
      <c r="A61" s="14">
        <v>1537</v>
      </c>
      <c r="B61" s="14" t="s">
        <v>266</v>
      </c>
      <c r="C61" s="14">
        <v>75</v>
      </c>
    </row>
    <row r="62" spans="1:3" s="13" customFormat="1" x14ac:dyDescent="0.25">
      <c r="A62" s="11" t="s">
        <v>198</v>
      </c>
      <c r="B62" s="10" t="s">
        <v>243</v>
      </c>
      <c r="C62" s="12">
        <v>69.959999999999994</v>
      </c>
    </row>
    <row r="63" spans="1:3" s="13" customFormat="1" x14ac:dyDescent="0.25">
      <c r="A63" s="15">
        <v>1538</v>
      </c>
      <c r="B63" s="13" t="s">
        <v>269</v>
      </c>
      <c r="C63" s="16">
        <v>70</v>
      </c>
    </row>
    <row r="64" spans="1:3" s="13" customFormat="1" x14ac:dyDescent="0.25">
      <c r="A64" s="14">
        <v>1538</v>
      </c>
      <c r="B64" s="14" t="s">
        <v>266</v>
      </c>
      <c r="C64" s="14">
        <v>70</v>
      </c>
    </row>
    <row r="65" spans="1:3" s="13" customFormat="1" x14ac:dyDescent="0.25">
      <c r="A65" s="10">
        <v>1542</v>
      </c>
      <c r="B65" s="10" t="s">
        <v>225</v>
      </c>
      <c r="C65" s="10">
        <v>25</v>
      </c>
    </row>
    <row r="66" spans="1:3" s="13" customFormat="1" x14ac:dyDescent="0.25">
      <c r="A66" s="15">
        <v>1542</v>
      </c>
      <c r="B66" s="13" t="s">
        <v>267</v>
      </c>
      <c r="C66" s="16">
        <v>25</v>
      </c>
    </row>
    <row r="67" spans="1:3" s="13" customFormat="1" x14ac:dyDescent="0.25">
      <c r="A67" s="14">
        <v>1542</v>
      </c>
      <c r="B67" s="14" t="s">
        <v>266</v>
      </c>
      <c r="C67" s="14">
        <v>25</v>
      </c>
    </row>
    <row r="68" spans="1:3" s="13" customFormat="1" x14ac:dyDescent="0.25">
      <c r="A68" s="10">
        <v>1548</v>
      </c>
      <c r="B68" s="10" t="s">
        <v>225</v>
      </c>
      <c r="C68" s="10">
        <v>48</v>
      </c>
    </row>
    <row r="69" spans="1:3" s="13" customFormat="1" x14ac:dyDescent="0.25">
      <c r="A69" s="15">
        <v>1548</v>
      </c>
      <c r="B69" s="13" t="s">
        <v>267</v>
      </c>
      <c r="C69" s="16">
        <v>48</v>
      </c>
    </row>
    <row r="70" spans="1:3" s="13" customFormat="1" x14ac:dyDescent="0.25">
      <c r="A70" s="14">
        <v>1548</v>
      </c>
      <c r="B70" s="14" t="s">
        <v>266</v>
      </c>
      <c r="C70" s="14">
        <v>48</v>
      </c>
    </row>
    <row r="71" spans="1:3" s="13" customFormat="1" x14ac:dyDescent="0.25">
      <c r="A71" s="10">
        <v>1552</v>
      </c>
      <c r="B71" s="10" t="s">
        <v>225</v>
      </c>
      <c r="C71" s="10">
        <v>75</v>
      </c>
    </row>
    <row r="72" spans="1:3" s="13" customFormat="1" x14ac:dyDescent="0.25">
      <c r="A72" s="15">
        <v>1552</v>
      </c>
      <c r="B72" s="13" t="s">
        <v>267</v>
      </c>
      <c r="C72" s="16">
        <v>75</v>
      </c>
    </row>
    <row r="73" spans="1:3" s="13" customFormat="1" x14ac:dyDescent="0.25">
      <c r="A73" s="14">
        <v>1552</v>
      </c>
      <c r="B73" s="14" t="s">
        <v>266</v>
      </c>
      <c r="C73" s="14">
        <v>75</v>
      </c>
    </row>
    <row r="74" spans="1:3" s="13" customFormat="1" x14ac:dyDescent="0.25">
      <c r="A74" s="10">
        <v>1558</v>
      </c>
      <c r="B74" s="10" t="s">
        <v>225</v>
      </c>
      <c r="C74" s="10">
        <v>120</v>
      </c>
    </row>
    <row r="75" spans="1:3" s="13" customFormat="1" x14ac:dyDescent="0.25">
      <c r="A75" s="15">
        <v>1558</v>
      </c>
      <c r="B75" s="13" t="s">
        <v>267</v>
      </c>
      <c r="C75" s="16">
        <v>120</v>
      </c>
    </row>
    <row r="76" spans="1:3" s="13" customFormat="1" x14ac:dyDescent="0.25">
      <c r="A76" s="14">
        <v>1558</v>
      </c>
      <c r="B76" s="14" t="s">
        <v>266</v>
      </c>
      <c r="C76" s="14">
        <v>120</v>
      </c>
    </row>
    <row r="77" spans="1:3" s="13" customFormat="1" x14ac:dyDescent="0.25">
      <c r="A77" s="10">
        <v>1560</v>
      </c>
      <c r="B77" s="10" t="s">
        <v>225</v>
      </c>
      <c r="C77" s="10">
        <v>73</v>
      </c>
    </row>
    <row r="78" spans="1:3" s="13" customFormat="1" x14ac:dyDescent="0.25">
      <c r="A78" s="15">
        <v>1560</v>
      </c>
      <c r="B78" s="13" t="s">
        <v>267</v>
      </c>
      <c r="C78" s="16">
        <v>73</v>
      </c>
    </row>
    <row r="79" spans="1:3" s="13" customFormat="1" x14ac:dyDescent="0.25">
      <c r="A79" s="14">
        <v>1560</v>
      </c>
      <c r="B79" s="14" t="s">
        <v>266</v>
      </c>
      <c r="C79" s="14">
        <v>73</v>
      </c>
    </row>
    <row r="80" spans="1:3" s="13" customFormat="1" x14ac:dyDescent="0.25">
      <c r="A80" s="10">
        <v>1562</v>
      </c>
      <c r="B80" s="10" t="s">
        <v>225</v>
      </c>
      <c r="C80" s="10">
        <v>77</v>
      </c>
    </row>
    <row r="81" spans="1:3" s="13" customFormat="1" x14ac:dyDescent="0.25">
      <c r="A81" s="15">
        <v>1562</v>
      </c>
      <c r="B81" s="13" t="s">
        <v>267</v>
      </c>
      <c r="C81" s="16">
        <v>77</v>
      </c>
    </row>
    <row r="82" spans="1:3" s="13" customFormat="1" x14ac:dyDescent="0.25">
      <c r="A82" s="14">
        <v>1562</v>
      </c>
      <c r="B82" s="14" t="s">
        <v>266</v>
      </c>
      <c r="C82" s="14">
        <v>77</v>
      </c>
    </row>
    <row r="83" spans="1:3" s="13" customFormat="1" x14ac:dyDescent="0.25">
      <c r="A83" s="11" t="s">
        <v>184</v>
      </c>
      <c r="B83" s="10" t="s">
        <v>243</v>
      </c>
      <c r="C83" s="12">
        <v>54.93</v>
      </c>
    </row>
    <row r="84" spans="1:3" s="13" customFormat="1" x14ac:dyDescent="0.25">
      <c r="A84" s="15">
        <v>1565</v>
      </c>
      <c r="B84" s="13" t="s">
        <v>269</v>
      </c>
      <c r="C84" s="16">
        <v>55</v>
      </c>
    </row>
    <row r="85" spans="1:3" s="13" customFormat="1" x14ac:dyDescent="0.25">
      <c r="A85" s="14">
        <v>1565</v>
      </c>
      <c r="B85" s="14" t="s">
        <v>266</v>
      </c>
      <c r="C85" s="14">
        <v>55</v>
      </c>
    </row>
    <row r="86" spans="1:3" s="13" customFormat="1" x14ac:dyDescent="0.25">
      <c r="A86" s="10">
        <v>1567</v>
      </c>
      <c r="B86" s="10" t="s">
        <v>225</v>
      </c>
      <c r="C86" s="10">
        <v>200</v>
      </c>
    </row>
    <row r="87" spans="1:3" s="13" customFormat="1" x14ac:dyDescent="0.25">
      <c r="A87" s="15">
        <v>1567</v>
      </c>
      <c r="B87" s="13" t="s">
        <v>267</v>
      </c>
      <c r="C87" s="16">
        <v>200</v>
      </c>
    </row>
    <row r="88" spans="1:3" s="13" customFormat="1" x14ac:dyDescent="0.25">
      <c r="A88" s="14">
        <v>1567</v>
      </c>
      <c r="B88" s="14" t="s">
        <v>266</v>
      </c>
      <c r="C88" s="14">
        <v>200</v>
      </c>
    </row>
    <row r="89" spans="1:3" s="13" customFormat="1" x14ac:dyDescent="0.25">
      <c r="A89" s="10">
        <v>1569</v>
      </c>
      <c r="B89" s="10" t="s">
        <v>225</v>
      </c>
      <c r="C89" s="10">
        <v>74</v>
      </c>
    </row>
    <row r="90" spans="1:3" s="13" customFormat="1" x14ac:dyDescent="0.25">
      <c r="A90" s="15">
        <v>1569</v>
      </c>
      <c r="B90" s="13" t="s">
        <v>267</v>
      </c>
      <c r="C90" s="16">
        <v>74</v>
      </c>
    </row>
    <row r="91" spans="1:3" s="13" customFormat="1" x14ac:dyDescent="0.25">
      <c r="A91" s="14">
        <v>1569</v>
      </c>
      <c r="B91" s="14" t="s">
        <v>266</v>
      </c>
      <c r="C91" s="14">
        <v>74</v>
      </c>
    </row>
    <row r="92" spans="1:3" s="13" customFormat="1" x14ac:dyDescent="0.25">
      <c r="A92" s="10">
        <v>1576</v>
      </c>
      <c r="B92" s="10" t="s">
        <v>225</v>
      </c>
      <c r="C92" s="10">
        <v>67</v>
      </c>
    </row>
    <row r="93" spans="1:3" s="13" customFormat="1" x14ac:dyDescent="0.25">
      <c r="A93" s="15">
        <v>1576</v>
      </c>
      <c r="B93" s="13" t="s">
        <v>267</v>
      </c>
      <c r="C93" s="16">
        <v>67</v>
      </c>
    </row>
    <row r="94" spans="1:3" s="13" customFormat="1" x14ac:dyDescent="0.25">
      <c r="A94" s="14">
        <v>1576</v>
      </c>
      <c r="B94" s="14" t="s">
        <v>266</v>
      </c>
      <c r="C94" s="14">
        <v>67</v>
      </c>
    </row>
    <row r="95" spans="1:3" s="13" customFormat="1" x14ac:dyDescent="0.25">
      <c r="A95" s="10">
        <v>1588</v>
      </c>
      <c r="B95" s="10" t="s">
        <v>225</v>
      </c>
      <c r="C95" s="10">
        <v>60</v>
      </c>
    </row>
    <row r="96" spans="1:3" s="13" customFormat="1" x14ac:dyDescent="0.25">
      <c r="A96" s="15">
        <v>1588</v>
      </c>
      <c r="B96" s="13" t="s">
        <v>267</v>
      </c>
      <c r="C96" s="16">
        <v>60</v>
      </c>
    </row>
    <row r="97" spans="1:3" s="13" customFormat="1" x14ac:dyDescent="0.25">
      <c r="A97" s="14">
        <v>1588</v>
      </c>
      <c r="B97" s="14" t="s">
        <v>266</v>
      </c>
      <c r="C97" s="14">
        <v>60</v>
      </c>
    </row>
    <row r="98" spans="1:3" s="13" customFormat="1" x14ac:dyDescent="0.25">
      <c r="A98" s="10">
        <v>1591</v>
      </c>
      <c r="B98" s="10" t="s">
        <v>225</v>
      </c>
      <c r="C98" s="10">
        <v>90</v>
      </c>
    </row>
    <row r="99" spans="1:3" s="13" customFormat="1" x14ac:dyDescent="0.25">
      <c r="A99" s="15">
        <v>1591</v>
      </c>
      <c r="B99" s="13" t="s">
        <v>267</v>
      </c>
      <c r="C99" s="16">
        <v>90</v>
      </c>
    </row>
    <row r="100" spans="1:3" s="13" customFormat="1" x14ac:dyDescent="0.25">
      <c r="A100" s="14">
        <v>1591</v>
      </c>
      <c r="B100" s="14" t="s">
        <v>266</v>
      </c>
      <c r="C100" s="14">
        <v>90</v>
      </c>
    </row>
    <row r="101" spans="1:3" s="13" customFormat="1" x14ac:dyDescent="0.25">
      <c r="A101" s="10">
        <v>1593</v>
      </c>
      <c r="B101" s="10" t="s">
        <v>225</v>
      </c>
      <c r="C101" s="10">
        <v>50</v>
      </c>
    </row>
    <row r="102" spans="1:3" s="13" customFormat="1" x14ac:dyDescent="0.25">
      <c r="A102" s="15">
        <v>1593</v>
      </c>
      <c r="B102" s="13" t="s">
        <v>267</v>
      </c>
      <c r="C102" s="16">
        <v>50</v>
      </c>
    </row>
    <row r="103" spans="1:3" s="13" customFormat="1" x14ac:dyDescent="0.25">
      <c r="A103" s="14">
        <v>1593</v>
      </c>
      <c r="B103" s="14" t="s">
        <v>266</v>
      </c>
      <c r="C103" s="14">
        <v>50</v>
      </c>
    </row>
    <row r="104" spans="1:3" s="13" customFormat="1" x14ac:dyDescent="0.25">
      <c r="A104" s="10">
        <v>1595</v>
      </c>
      <c r="B104" s="10" t="s">
        <v>225</v>
      </c>
      <c r="C104" s="10">
        <v>53</v>
      </c>
    </row>
    <row r="105" spans="1:3" s="14" customFormat="1" x14ac:dyDescent="0.25">
      <c r="A105" s="15">
        <v>1595</v>
      </c>
      <c r="B105" s="13" t="s">
        <v>267</v>
      </c>
      <c r="C105" s="16">
        <v>53</v>
      </c>
    </row>
    <row r="106" spans="1:3" s="14" customFormat="1" x14ac:dyDescent="0.25">
      <c r="A106" s="14">
        <v>1595</v>
      </c>
      <c r="B106" s="14" t="s">
        <v>266</v>
      </c>
      <c r="C106" s="14">
        <v>53</v>
      </c>
    </row>
    <row r="107" spans="1:3" s="14" customFormat="1" x14ac:dyDescent="0.25">
      <c r="A107" s="10">
        <v>1598</v>
      </c>
      <c r="B107" s="10" t="s">
        <v>225</v>
      </c>
      <c r="C107" s="10">
        <v>50</v>
      </c>
    </row>
    <row r="108" spans="1:3" s="14" customFormat="1" x14ac:dyDescent="0.25">
      <c r="A108" s="15">
        <v>1598</v>
      </c>
      <c r="B108" s="13" t="s">
        <v>267</v>
      </c>
      <c r="C108" s="16">
        <v>50</v>
      </c>
    </row>
    <row r="109" spans="1:3" s="14" customFormat="1" x14ac:dyDescent="0.25">
      <c r="A109" s="14">
        <v>1598</v>
      </c>
      <c r="B109" s="14" t="s">
        <v>266</v>
      </c>
      <c r="C109" s="14">
        <v>50</v>
      </c>
    </row>
    <row r="110" spans="1:3" s="14" customFormat="1" x14ac:dyDescent="0.25">
      <c r="A110" s="10">
        <v>1600</v>
      </c>
      <c r="B110" s="10" t="s">
        <v>225</v>
      </c>
      <c r="C110" s="10">
        <v>50</v>
      </c>
    </row>
    <row r="111" spans="1:3" s="14" customFormat="1" x14ac:dyDescent="0.25">
      <c r="A111" s="15">
        <v>1600</v>
      </c>
      <c r="B111" s="13" t="s">
        <v>267</v>
      </c>
      <c r="C111" s="16">
        <v>50</v>
      </c>
    </row>
    <row r="112" spans="1:3" s="14" customFormat="1" x14ac:dyDescent="0.25">
      <c r="A112" s="14">
        <v>1600</v>
      </c>
      <c r="B112" s="14" t="s">
        <v>266</v>
      </c>
      <c r="C112" s="14">
        <v>50</v>
      </c>
    </row>
    <row r="113" spans="1:3" s="14" customFormat="1" x14ac:dyDescent="0.25">
      <c r="A113" s="10">
        <v>1603</v>
      </c>
      <c r="B113" s="10" t="s">
        <v>225</v>
      </c>
      <c r="C113" s="10">
        <v>50</v>
      </c>
    </row>
    <row r="114" spans="1:3" s="14" customFormat="1" x14ac:dyDescent="0.25">
      <c r="A114" s="15">
        <v>1603</v>
      </c>
      <c r="B114" s="13" t="s">
        <v>267</v>
      </c>
      <c r="C114" s="16">
        <v>50</v>
      </c>
    </row>
    <row r="115" spans="1:3" s="14" customFormat="1" x14ac:dyDescent="0.25">
      <c r="A115" s="14">
        <v>1603</v>
      </c>
      <c r="B115" s="14" t="s">
        <v>266</v>
      </c>
      <c r="C115" s="14">
        <v>50</v>
      </c>
    </row>
    <row r="116" spans="1:3" s="14" customFormat="1" x14ac:dyDescent="0.25">
      <c r="A116" s="10">
        <v>1608</v>
      </c>
      <c r="B116" s="10" t="s">
        <v>225</v>
      </c>
      <c r="C116" s="10">
        <v>102</v>
      </c>
    </row>
    <row r="117" spans="1:3" s="14" customFormat="1" x14ac:dyDescent="0.25">
      <c r="A117" s="15">
        <v>1608</v>
      </c>
      <c r="B117" s="13" t="s">
        <v>267</v>
      </c>
      <c r="C117" s="16">
        <v>102</v>
      </c>
    </row>
    <row r="118" spans="1:3" s="14" customFormat="1" x14ac:dyDescent="0.25">
      <c r="A118" s="14">
        <v>1608</v>
      </c>
      <c r="B118" s="14" t="s">
        <v>266</v>
      </c>
      <c r="C118" s="14">
        <v>102</v>
      </c>
    </row>
    <row r="119" spans="1:3" s="14" customFormat="1" x14ac:dyDescent="0.25">
      <c r="A119" s="10">
        <v>1610</v>
      </c>
      <c r="B119" s="10" t="s">
        <v>225</v>
      </c>
      <c r="C119" s="10">
        <v>50</v>
      </c>
    </row>
    <row r="120" spans="1:3" s="14" customFormat="1" x14ac:dyDescent="0.25">
      <c r="A120" s="15">
        <v>1610</v>
      </c>
      <c r="B120" s="13" t="s">
        <v>267</v>
      </c>
      <c r="C120" s="16">
        <v>50</v>
      </c>
    </row>
    <row r="121" spans="1:3" s="14" customFormat="1" x14ac:dyDescent="0.25">
      <c r="A121" s="14">
        <v>1610</v>
      </c>
      <c r="B121" s="14" t="s">
        <v>266</v>
      </c>
      <c r="C121" s="14">
        <v>50</v>
      </c>
    </row>
    <row r="122" spans="1:3" s="14" customFormat="1" x14ac:dyDescent="0.25">
      <c r="A122" s="10">
        <v>1616</v>
      </c>
      <c r="B122" s="10" t="s">
        <v>225</v>
      </c>
      <c r="C122" s="10">
        <v>50</v>
      </c>
    </row>
    <row r="123" spans="1:3" s="14" customFormat="1" x14ac:dyDescent="0.25">
      <c r="A123" s="15">
        <v>1616</v>
      </c>
      <c r="B123" s="13" t="s">
        <v>267</v>
      </c>
      <c r="C123" s="16">
        <v>50</v>
      </c>
    </row>
    <row r="124" spans="1:3" s="14" customFormat="1" x14ac:dyDescent="0.25">
      <c r="A124" s="14">
        <v>1616</v>
      </c>
      <c r="B124" s="14" t="s">
        <v>266</v>
      </c>
      <c r="C124" s="14">
        <v>50</v>
      </c>
    </row>
    <row r="125" spans="1:3" s="14" customFormat="1" x14ac:dyDescent="0.25">
      <c r="A125" s="10">
        <v>1618</v>
      </c>
      <c r="B125" s="10" t="s">
        <v>225</v>
      </c>
      <c r="C125" s="10">
        <v>150</v>
      </c>
    </row>
    <row r="126" spans="1:3" s="14" customFormat="1" x14ac:dyDescent="0.25">
      <c r="A126" s="15">
        <v>1618</v>
      </c>
      <c r="B126" s="13" t="s">
        <v>267</v>
      </c>
      <c r="C126" s="16">
        <v>150</v>
      </c>
    </row>
    <row r="127" spans="1:3" s="14" customFormat="1" x14ac:dyDescent="0.25">
      <c r="A127" s="14">
        <v>1618</v>
      </c>
      <c r="B127" s="14" t="s">
        <v>266</v>
      </c>
      <c r="C127" s="14">
        <v>150</v>
      </c>
    </row>
    <row r="128" spans="1:3" s="14" customFormat="1" x14ac:dyDescent="0.25">
      <c r="A128" s="10">
        <v>1620</v>
      </c>
      <c r="B128" s="10" t="s">
        <v>225</v>
      </c>
      <c r="C128" s="10">
        <v>50</v>
      </c>
    </row>
    <row r="129" spans="1:3" s="14" customFormat="1" x14ac:dyDescent="0.25">
      <c r="A129" s="15">
        <v>1620</v>
      </c>
      <c r="B129" s="13" t="s">
        <v>267</v>
      </c>
      <c r="C129" s="16">
        <v>50</v>
      </c>
    </row>
    <row r="130" spans="1:3" s="14" customFormat="1" x14ac:dyDescent="0.25">
      <c r="A130" s="14">
        <v>1620</v>
      </c>
      <c r="B130" s="14" t="s">
        <v>266</v>
      </c>
      <c r="C130" s="14">
        <v>50</v>
      </c>
    </row>
    <row r="131" spans="1:3" s="14" customFormat="1" x14ac:dyDescent="0.25">
      <c r="A131" s="10">
        <v>1630</v>
      </c>
      <c r="B131" s="10" t="s">
        <v>225</v>
      </c>
      <c r="C131" s="10">
        <v>25</v>
      </c>
    </row>
    <row r="132" spans="1:3" s="14" customFormat="1" x14ac:dyDescent="0.25">
      <c r="A132" s="15">
        <v>1630</v>
      </c>
      <c r="B132" s="13" t="s">
        <v>267</v>
      </c>
      <c r="C132" s="16">
        <v>25</v>
      </c>
    </row>
    <row r="133" spans="1:3" s="14" customFormat="1" x14ac:dyDescent="0.25">
      <c r="A133" s="14">
        <v>1630</v>
      </c>
      <c r="B133" s="14" t="s">
        <v>266</v>
      </c>
      <c r="C133" s="14">
        <v>25</v>
      </c>
    </row>
    <row r="134" spans="1:3" s="14" customFormat="1" x14ac:dyDescent="0.25">
      <c r="A134" s="10">
        <v>1640</v>
      </c>
      <c r="B134" s="10" t="s">
        <v>225</v>
      </c>
      <c r="C134" s="10">
        <v>60</v>
      </c>
    </row>
    <row r="135" spans="1:3" s="14" customFormat="1" x14ac:dyDescent="0.25">
      <c r="A135" s="15">
        <v>1640</v>
      </c>
      <c r="B135" s="13" t="s">
        <v>267</v>
      </c>
      <c r="C135" s="16">
        <v>60</v>
      </c>
    </row>
    <row r="136" spans="1:3" s="14" customFormat="1" x14ac:dyDescent="0.25">
      <c r="A136" s="14">
        <v>1640</v>
      </c>
      <c r="B136" s="14" t="s">
        <v>266</v>
      </c>
      <c r="C136" s="14">
        <v>60</v>
      </c>
    </row>
    <row r="137" spans="1:3" s="14" customFormat="1" x14ac:dyDescent="0.25">
      <c r="A137" s="10">
        <v>1646</v>
      </c>
      <c r="B137" s="10" t="s">
        <v>225</v>
      </c>
      <c r="C137" s="10">
        <v>74</v>
      </c>
    </row>
    <row r="138" spans="1:3" s="14" customFormat="1" x14ac:dyDescent="0.25">
      <c r="A138" s="15">
        <v>1646</v>
      </c>
      <c r="B138" s="13" t="s">
        <v>267</v>
      </c>
      <c r="C138" s="16">
        <v>74</v>
      </c>
    </row>
    <row r="139" spans="1:3" s="14" customFormat="1" x14ac:dyDescent="0.25">
      <c r="A139" s="14">
        <v>1646</v>
      </c>
      <c r="B139" s="14" t="s">
        <v>266</v>
      </c>
      <c r="C139" s="14">
        <v>74</v>
      </c>
    </row>
    <row r="140" spans="1:3" s="14" customFormat="1" x14ac:dyDescent="0.25">
      <c r="A140" s="10">
        <v>1648</v>
      </c>
      <c r="B140" s="10" t="s">
        <v>225</v>
      </c>
      <c r="C140" s="10">
        <v>20</v>
      </c>
    </row>
    <row r="141" spans="1:3" s="14" customFormat="1" x14ac:dyDescent="0.25">
      <c r="A141" s="15">
        <v>1648</v>
      </c>
      <c r="B141" s="13" t="s">
        <v>267</v>
      </c>
      <c r="C141" s="16">
        <v>20</v>
      </c>
    </row>
    <row r="142" spans="1:3" s="14" customFormat="1" x14ac:dyDescent="0.25">
      <c r="A142" s="14">
        <v>1648</v>
      </c>
      <c r="B142" s="14" t="s">
        <v>266</v>
      </c>
      <c r="C142" s="14">
        <v>20</v>
      </c>
    </row>
    <row r="143" spans="1:3" s="14" customFormat="1" x14ac:dyDescent="0.25">
      <c r="A143" s="10">
        <v>1652</v>
      </c>
      <c r="B143" s="10" t="s">
        <v>225</v>
      </c>
      <c r="C143" s="10">
        <v>102</v>
      </c>
    </row>
    <row r="144" spans="1:3" s="14" customFormat="1" x14ac:dyDescent="0.25">
      <c r="A144" s="15">
        <v>1652</v>
      </c>
      <c r="B144" s="13" t="s">
        <v>267</v>
      </c>
      <c r="C144" s="16">
        <v>102</v>
      </c>
    </row>
    <row r="145" spans="1:3" s="14" customFormat="1" x14ac:dyDescent="0.25">
      <c r="A145" s="14">
        <v>1652</v>
      </c>
      <c r="B145" s="14" t="s">
        <v>266</v>
      </c>
      <c r="C145" s="14">
        <v>102</v>
      </c>
    </row>
    <row r="146" spans="1:3" s="14" customFormat="1" x14ac:dyDescent="0.25">
      <c r="A146" s="15">
        <v>1654</v>
      </c>
      <c r="B146" s="13" t="s">
        <v>267</v>
      </c>
      <c r="C146" s="16">
        <v>102</v>
      </c>
    </row>
    <row r="147" spans="1:3" s="14" customFormat="1" x14ac:dyDescent="0.25">
      <c r="A147" s="17">
        <v>1654</v>
      </c>
      <c r="B147" s="10" t="s">
        <v>225</v>
      </c>
      <c r="C147" s="18">
        <v>102</v>
      </c>
    </row>
    <row r="148" spans="1:3" s="14" customFormat="1" x14ac:dyDescent="0.25">
      <c r="A148" s="14">
        <v>1654</v>
      </c>
      <c r="B148" s="14" t="s">
        <v>266</v>
      </c>
      <c r="C148" s="14">
        <v>102</v>
      </c>
    </row>
    <row r="149" spans="1:3" s="14" customFormat="1" x14ac:dyDescent="0.25">
      <c r="A149" s="15">
        <v>1656</v>
      </c>
      <c r="B149" s="13" t="s">
        <v>267</v>
      </c>
      <c r="C149" s="16">
        <v>74</v>
      </c>
    </row>
    <row r="150" spans="1:3" s="14" customFormat="1" x14ac:dyDescent="0.25">
      <c r="A150" s="14">
        <v>1656</v>
      </c>
      <c r="B150" s="14" t="s">
        <v>266</v>
      </c>
      <c r="C150" s="14">
        <v>74</v>
      </c>
    </row>
    <row r="151" spans="1:3" x14ac:dyDescent="0.25">
      <c r="A151" s="10">
        <v>1656</v>
      </c>
      <c r="B151" s="10" t="s">
        <v>225</v>
      </c>
      <c r="C151" s="10">
        <v>74</v>
      </c>
    </row>
  </sheetData>
  <sortState ref="A16:C149">
    <sortCondition ref="A16:A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DNP</vt:lpstr>
      <vt:lpstr>QP</vt:lpstr>
      <vt:lpstr>QP1</vt:lpstr>
      <vt:lpstr>DF</vt:lpstr>
      <vt:lpstr>DGSDNP</vt:lpstr>
      <vt:lpstr>DGSQP</vt:lpstr>
      <vt:lpstr>DGSQP1</vt:lpstr>
      <vt:lpstr>RECON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</cp:lastModifiedBy>
  <dcterms:created xsi:type="dcterms:W3CDTF">2013-03-07T20:00:33Z</dcterms:created>
  <dcterms:modified xsi:type="dcterms:W3CDTF">2013-03-18T23:49:18Z</dcterms:modified>
</cp:coreProperties>
</file>