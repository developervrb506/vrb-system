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8680" windowHeight="12525" activeTab="2"/>
  </bookViews>
  <sheets>
    <sheet name="Week Apr 16-22" sheetId="1" r:id="rId1"/>
    <sheet name="Week Apr 23-29" sheetId="2" r:id="rId2"/>
    <sheet name="Week Apr 30-6" sheetId="3" r:id="rId3"/>
  </sheets>
  <calcPr calcId="125725"/>
</workbook>
</file>

<file path=xl/calcChain.xml><?xml version="1.0" encoding="utf-8"?>
<calcChain xmlns="http://schemas.openxmlformats.org/spreadsheetml/2006/main">
  <c r="B39" i="3"/>
  <c r="B9"/>
  <c r="B54"/>
  <c r="B44"/>
  <c r="C44" s="1"/>
  <c r="B53"/>
  <c r="B43"/>
  <c r="C39"/>
  <c r="B24"/>
  <c r="B23"/>
  <c r="B22"/>
  <c r="C55"/>
  <c r="C54"/>
  <c r="C53"/>
  <c r="C52"/>
  <c r="C51"/>
  <c r="C50"/>
  <c r="C49"/>
  <c r="C48"/>
  <c r="C43"/>
  <c r="C42"/>
  <c r="C41"/>
  <c r="C40"/>
  <c r="C38"/>
  <c r="C34"/>
  <c r="C33"/>
  <c r="C32"/>
  <c r="C29"/>
  <c r="C28"/>
  <c r="C27"/>
  <c r="C26"/>
  <c r="C25"/>
  <c r="C24"/>
  <c r="C23"/>
  <c r="C22"/>
  <c r="C21"/>
  <c r="C17"/>
  <c r="C16"/>
  <c r="C15"/>
  <c r="C14"/>
  <c r="C13"/>
  <c r="C12"/>
  <c r="C11"/>
  <c r="C10"/>
  <c r="C9"/>
  <c r="C8"/>
  <c r="C7"/>
  <c r="C6"/>
  <c r="B8"/>
  <c r="C31"/>
  <c r="C30"/>
  <c r="C31" i="2"/>
  <c r="C30"/>
  <c r="B15" i="1"/>
  <c r="B15" i="2"/>
  <c r="C15" s="1"/>
  <c r="B15" i="3"/>
  <c r="B55"/>
  <c r="B50"/>
  <c r="B49"/>
  <c r="B56" s="1"/>
  <c r="C56" s="1"/>
  <c r="B40"/>
  <c r="B32"/>
  <c r="B35" s="1"/>
  <c r="C35" s="1"/>
  <c r="B16"/>
  <c r="B14"/>
  <c r="B13"/>
  <c r="B12"/>
  <c r="B11"/>
  <c r="B18"/>
  <c r="C18" s="1"/>
  <c r="C64" i="1"/>
  <c r="B64"/>
  <c r="C58"/>
  <c r="B9" i="2"/>
  <c r="C9" s="1"/>
  <c r="B39"/>
  <c r="C39" s="1"/>
  <c r="C45" i="1"/>
  <c r="B45"/>
  <c r="C55" i="2"/>
  <c r="C54"/>
  <c r="C53"/>
  <c r="C52"/>
  <c r="C51"/>
  <c r="C50"/>
  <c r="C48"/>
  <c r="C44"/>
  <c r="C43"/>
  <c r="C42"/>
  <c r="C41"/>
  <c r="C40"/>
  <c r="C38"/>
  <c r="C34"/>
  <c r="C33"/>
  <c r="C32"/>
  <c r="C29"/>
  <c r="C28"/>
  <c r="C27"/>
  <c r="C26"/>
  <c r="C25"/>
  <c r="C24"/>
  <c r="C23"/>
  <c r="C22"/>
  <c r="C21"/>
  <c r="C17"/>
  <c r="C12"/>
  <c r="C10"/>
  <c r="C8"/>
  <c r="C7"/>
  <c r="C6"/>
  <c r="C56" i="1"/>
  <c r="C55"/>
  <c r="C50"/>
  <c r="C49"/>
  <c r="C40"/>
  <c r="C39"/>
  <c r="C32"/>
  <c r="C24"/>
  <c r="C23"/>
  <c r="C22"/>
  <c r="C35" s="1"/>
  <c r="C16"/>
  <c r="C14"/>
  <c r="C13"/>
  <c r="C12"/>
  <c r="C18" s="1"/>
  <c r="C11"/>
  <c r="C9"/>
  <c r="B55" i="2"/>
  <c r="B50"/>
  <c r="B49"/>
  <c r="B56" s="1"/>
  <c r="B64" s="1"/>
  <c r="C64" s="1"/>
  <c r="B40"/>
  <c r="B32"/>
  <c r="B35" s="1"/>
  <c r="C35" s="1"/>
  <c r="B16"/>
  <c r="C16" s="1"/>
  <c r="B14"/>
  <c r="C14" s="1"/>
  <c r="B13"/>
  <c r="C13" s="1"/>
  <c r="B12"/>
  <c r="B11"/>
  <c r="C11" s="1"/>
  <c r="B50" i="1"/>
  <c r="B40"/>
  <c r="B16"/>
  <c r="B13"/>
  <c r="B11"/>
  <c r="B56"/>
  <c r="B32"/>
  <c r="B12"/>
  <c r="B18"/>
  <c r="B55"/>
  <c r="B14"/>
  <c r="B9"/>
  <c r="B39"/>
  <c r="B49"/>
  <c r="B24"/>
  <c r="B23"/>
  <c r="B22"/>
  <c r="B18" i="2" l="1"/>
  <c r="C18" s="1"/>
  <c r="C49"/>
  <c r="C56"/>
  <c r="B64" i="3"/>
  <c r="C64" s="1"/>
  <c r="B45"/>
  <c r="C45" s="1"/>
  <c r="B61" i="2"/>
  <c r="B63"/>
  <c r="B45"/>
  <c r="C45" s="1"/>
  <c r="B58"/>
  <c r="B35" i="1"/>
  <c r="B62" s="1"/>
  <c r="C62" s="1"/>
  <c r="B63" i="3" l="1"/>
  <c r="C63" s="1"/>
  <c r="B61"/>
  <c r="C61" s="1"/>
  <c r="B58"/>
  <c r="C58" s="1"/>
  <c r="B62" i="2"/>
  <c r="B61" i="1"/>
  <c r="C61" s="1"/>
  <c r="B58"/>
  <c r="B63"/>
  <c r="C63" s="1"/>
  <c r="B62" i="3"/>
  <c r="C62" s="1"/>
  <c r="C58" i="2"/>
  <c r="C61"/>
  <c r="C63" l="1"/>
  <c r="C62"/>
</calcChain>
</file>

<file path=xl/sharedStrings.xml><?xml version="1.0" encoding="utf-8"?>
<sst xmlns="http://schemas.openxmlformats.org/spreadsheetml/2006/main" count="261" uniqueCount="72">
  <si>
    <t>Income Statement</t>
  </si>
  <si>
    <t>007B</t>
  </si>
  <si>
    <t>Pineapple</t>
  </si>
  <si>
    <t>Revenue/Expenses</t>
  </si>
  <si>
    <t>Payroll Gambling</t>
  </si>
  <si>
    <t>Paola, Cindy and Silvia</t>
  </si>
  <si>
    <t>007Kenny</t>
  </si>
  <si>
    <t>700A</t>
  </si>
  <si>
    <t>700B</t>
  </si>
  <si>
    <t>Week</t>
  </si>
  <si>
    <t>YTD</t>
  </si>
  <si>
    <t>Payroll PPH</t>
  </si>
  <si>
    <t>Lante PPH</t>
  </si>
  <si>
    <t>Allen PPH</t>
  </si>
  <si>
    <t>Zorba</t>
  </si>
  <si>
    <t>Fl Scott PPH</t>
  </si>
  <si>
    <t>POSTUP</t>
  </si>
  <si>
    <t>CREDIT/PPH</t>
  </si>
  <si>
    <t>PROCESSING</t>
  </si>
  <si>
    <t>BETTING</t>
  </si>
  <si>
    <t>Office Rent</t>
  </si>
  <si>
    <t>Electricity</t>
  </si>
  <si>
    <t>Water</t>
  </si>
  <si>
    <t>Sales Commissions</t>
  </si>
  <si>
    <t>Payroll Postup</t>
  </si>
  <si>
    <t>Bacons</t>
  </si>
  <si>
    <t>Sports Direct</t>
  </si>
  <si>
    <t>Copywright</t>
  </si>
  <si>
    <t>POSTUP TOTAL</t>
  </si>
  <si>
    <t>CREDIT/PPH TOTAL</t>
  </si>
  <si>
    <t>PROCESSING TOTAL</t>
  </si>
  <si>
    <t>BETTING TOTAL</t>
  </si>
  <si>
    <t>OVERALL PROFIT/LOSS</t>
  </si>
  <si>
    <t>Supplies</t>
  </si>
  <si>
    <t>Maid</t>
  </si>
  <si>
    <t>California Server</t>
  </si>
  <si>
    <t>Bronto</t>
  </si>
  <si>
    <t>PERCENTAGES</t>
  </si>
  <si>
    <t xml:space="preserve">Caja </t>
  </si>
  <si>
    <t>Frank</t>
  </si>
  <si>
    <t xml:space="preserve">Michael </t>
  </si>
  <si>
    <t>Kevin</t>
  </si>
  <si>
    <t>Payroll Processing</t>
  </si>
  <si>
    <t>Fees Income</t>
  </si>
  <si>
    <t>Betting Income</t>
  </si>
  <si>
    <t>Wagerweb Income</t>
  </si>
  <si>
    <t>SBO Income</t>
  </si>
  <si>
    <t>Handicapper Income</t>
  </si>
  <si>
    <t>Willy</t>
  </si>
  <si>
    <t>$100 a week</t>
  </si>
  <si>
    <t>$960 a year</t>
  </si>
  <si>
    <t>$12,000 a year</t>
  </si>
  <si>
    <t>$300,000 a year</t>
  </si>
  <si>
    <t>$24,000 a year</t>
  </si>
  <si>
    <t>Notes</t>
  </si>
  <si>
    <t>Office PerHead.com</t>
  </si>
  <si>
    <t>Office Perhead.com</t>
  </si>
  <si>
    <t xml:space="preserve"> </t>
  </si>
  <si>
    <t xml:space="preserve">   </t>
  </si>
  <si>
    <t xml:space="preserve">  </t>
  </si>
  <si>
    <t>$16,800 a year average</t>
  </si>
  <si>
    <t>$4,820 a year</t>
  </si>
  <si>
    <t>$8,200 a year</t>
  </si>
  <si>
    <t>$15,600 a year</t>
  </si>
  <si>
    <t>Variable</t>
  </si>
  <si>
    <t>Affiliate Commissions</t>
  </si>
  <si>
    <t>60%-45%</t>
  </si>
  <si>
    <t>20%-20%</t>
  </si>
  <si>
    <t>Seal</t>
  </si>
  <si>
    <t>0%-15%</t>
  </si>
  <si>
    <t>Billy M PPH</t>
  </si>
  <si>
    <t>Sphynx PPH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</si>
</sst>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6" formatCode="0.00_);[Red]\(0.00\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Font="1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166" fontId="2" fillId="0" borderId="0" xfId="0" applyNumberFormat="1" applyFont="1"/>
    <xf numFmtId="166" fontId="5" fillId="0" borderId="0" xfId="0" applyNumberFormat="1" applyFont="1"/>
    <xf numFmtId="166" fontId="4" fillId="0" borderId="0" xfId="0" applyNumberFormat="1" applyFont="1"/>
    <xf numFmtId="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6" fontId="5" fillId="0" borderId="0" xfId="0" applyNumberFormat="1" applyFont="1" applyFill="1"/>
    <xf numFmtId="166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4"/>
  <sheetViews>
    <sheetView workbookViewId="0">
      <selection activeCell="C9" sqref="C9"/>
    </sheetView>
  </sheetViews>
  <sheetFormatPr defaultRowHeight="15"/>
  <cols>
    <col min="1" max="1" width="24.7109375" customWidth="1"/>
    <col min="2" max="2" width="15.7109375" style="11" customWidth="1"/>
    <col min="3" max="3" width="15.7109375" customWidth="1"/>
    <col min="4" max="4" width="24.7109375" style="6" customWidth="1"/>
  </cols>
  <sheetData>
    <row r="1" spans="1:4" ht="21">
      <c r="A1" s="4" t="s">
        <v>0</v>
      </c>
    </row>
    <row r="3" spans="1:4">
      <c r="A3" s="1" t="s">
        <v>3</v>
      </c>
      <c r="B3" s="12" t="s">
        <v>9</v>
      </c>
      <c r="C3" s="2" t="s">
        <v>10</v>
      </c>
      <c r="D3" s="2" t="s">
        <v>54</v>
      </c>
    </row>
    <row r="4" spans="1:4">
      <c r="A4" s="1"/>
      <c r="B4" s="12"/>
      <c r="C4" s="2"/>
    </row>
    <row r="5" spans="1:4">
      <c r="A5" s="1" t="s">
        <v>16</v>
      </c>
      <c r="B5" s="12"/>
      <c r="C5" s="2"/>
    </row>
    <row r="6" spans="1:4">
      <c r="A6" t="s">
        <v>45</v>
      </c>
      <c r="B6" s="11">
        <v>2766</v>
      </c>
      <c r="C6" s="11">
        <v>2766</v>
      </c>
    </row>
    <row r="7" spans="1:4">
      <c r="A7" t="s">
        <v>46</v>
      </c>
      <c r="B7" s="11">
        <v>9762</v>
      </c>
      <c r="C7" s="11">
        <v>9762</v>
      </c>
      <c r="D7" s="17" t="s">
        <v>65</v>
      </c>
    </row>
    <row r="8" spans="1:4">
      <c r="A8" t="s">
        <v>47</v>
      </c>
      <c r="B8" s="11">
        <v>0</v>
      </c>
      <c r="C8" s="11">
        <v>0</v>
      </c>
    </row>
    <row r="9" spans="1:4">
      <c r="A9" t="s">
        <v>24</v>
      </c>
      <c r="B9" s="11">
        <f>-344-174-183-200-260-483-375-250-250-1000-750-222-364-300-375-400-250-250-250-250-250-750</f>
        <v>-7930</v>
      </c>
      <c r="C9" s="11">
        <f>-344-174-183-200-260-483-375-250-250-1000-750-222-364-300-375-400-250-250-250-250-250-750</f>
        <v>-7930</v>
      </c>
    </row>
    <row r="10" spans="1:4">
      <c r="A10" t="s">
        <v>23</v>
      </c>
      <c r="B10" s="11">
        <v>-115</v>
      </c>
      <c r="C10" s="11">
        <v>-115</v>
      </c>
    </row>
    <row r="11" spans="1:4">
      <c r="A11" t="s">
        <v>38</v>
      </c>
      <c r="B11" s="11">
        <f>-16800/52</f>
        <v>-323.07692307692309</v>
      </c>
      <c r="C11" s="11">
        <f>-16800/52</f>
        <v>-323.07692307692309</v>
      </c>
      <c r="D11" s="6" t="s">
        <v>60</v>
      </c>
    </row>
    <row r="12" spans="1:4">
      <c r="A12" t="s">
        <v>55</v>
      </c>
      <c r="B12" s="11">
        <f>-(25000*12)/52/2</f>
        <v>-2884.6153846153848</v>
      </c>
      <c r="C12" s="11">
        <f>-(25000*12)/52/2</f>
        <v>-2884.6153846153848</v>
      </c>
      <c r="D12" s="6" t="s">
        <v>52</v>
      </c>
    </row>
    <row r="13" spans="1:4">
      <c r="A13" t="s">
        <v>25</v>
      </c>
      <c r="B13" s="11">
        <f>-4820/52</f>
        <v>-92.692307692307693</v>
      </c>
      <c r="C13" s="11">
        <f>-4820/52</f>
        <v>-92.692307692307693</v>
      </c>
      <c r="D13" s="6" t="s">
        <v>61</v>
      </c>
    </row>
    <row r="14" spans="1:4">
      <c r="A14" t="s">
        <v>26</v>
      </c>
      <c r="B14" s="11">
        <f>-12000/52</f>
        <v>-230.76923076923077</v>
      </c>
      <c r="C14" s="11">
        <f>-12000/52</f>
        <v>-230.76923076923077</v>
      </c>
      <c r="D14" s="6" t="s">
        <v>51</v>
      </c>
    </row>
    <row r="15" spans="1:4">
      <c r="A15" t="s">
        <v>27</v>
      </c>
      <c r="B15" s="11">
        <f>-24000/52</f>
        <v>-461.53846153846155</v>
      </c>
      <c r="C15" s="11">
        <v>-500</v>
      </c>
      <c r="D15" s="6" t="s">
        <v>53</v>
      </c>
    </row>
    <row r="16" spans="1:4">
      <c r="A16" t="s">
        <v>36</v>
      </c>
      <c r="B16" s="11">
        <f>-8200/52</f>
        <v>-157.69230769230768</v>
      </c>
      <c r="C16" s="11">
        <f>-8200/52</f>
        <v>-157.69230769230768</v>
      </c>
      <c r="D16" s="6" t="s">
        <v>62</v>
      </c>
    </row>
    <row r="17" spans="1:24">
      <c r="A17" t="s">
        <v>33</v>
      </c>
      <c r="B17" s="11">
        <v>0</v>
      </c>
      <c r="C17" s="11">
        <v>0</v>
      </c>
      <c r="D17" s="6" t="s">
        <v>64</v>
      </c>
      <c r="N17" t="s">
        <v>57</v>
      </c>
    </row>
    <row r="18" spans="1:24">
      <c r="A18" s="1" t="s">
        <v>28</v>
      </c>
      <c r="B18" s="13">
        <f>SUM(B6:B17)</f>
        <v>332.61538461538481</v>
      </c>
      <c r="C18" s="13">
        <f>SUM(C6:C17)</f>
        <v>294.15384615384636</v>
      </c>
      <c r="X18" t="s">
        <v>58</v>
      </c>
    </row>
    <row r="19" spans="1:24">
      <c r="C19" s="11"/>
    </row>
    <row r="20" spans="1:24">
      <c r="A20" s="1" t="s">
        <v>17</v>
      </c>
      <c r="C20" s="11"/>
      <c r="D20" s="7" t="s">
        <v>37</v>
      </c>
    </row>
    <row r="21" spans="1:24">
      <c r="A21" t="s">
        <v>1</v>
      </c>
      <c r="B21" s="11">
        <v>18751</v>
      </c>
      <c r="C21" s="11">
        <v>18751</v>
      </c>
      <c r="D21" s="8">
        <v>1</v>
      </c>
    </row>
    <row r="22" spans="1:24">
      <c r="A22" t="s">
        <v>6</v>
      </c>
      <c r="B22" s="11">
        <f>-53*0.25</f>
        <v>-13.25</v>
      </c>
      <c r="C22" s="11">
        <f>-53*0.25</f>
        <v>-13.25</v>
      </c>
      <c r="D22" s="9">
        <v>0.25</v>
      </c>
    </row>
    <row r="23" spans="1:24">
      <c r="A23" t="s">
        <v>7</v>
      </c>
      <c r="B23" s="11">
        <f>2304*0.5</f>
        <v>1152</v>
      </c>
      <c r="C23" s="11">
        <f>2304*0.5</f>
        <v>1152</v>
      </c>
      <c r="D23" s="9">
        <v>0.5</v>
      </c>
    </row>
    <row r="24" spans="1:24">
      <c r="A24" t="s">
        <v>8</v>
      </c>
      <c r="B24" s="11">
        <f>-2416*0.25</f>
        <v>-604</v>
      </c>
      <c r="C24" s="11">
        <f>-2416*0.25</f>
        <v>-604</v>
      </c>
      <c r="D24" s="9">
        <v>0.25</v>
      </c>
    </row>
    <row r="25" spans="1:24">
      <c r="A25" t="s">
        <v>14</v>
      </c>
      <c r="B25" s="14">
        <v>11372</v>
      </c>
      <c r="C25" s="14">
        <v>11372</v>
      </c>
      <c r="D25" s="10">
        <v>0.375</v>
      </c>
    </row>
    <row r="26" spans="1:24">
      <c r="A26" t="s">
        <v>2</v>
      </c>
      <c r="B26" s="14">
        <v>36792</v>
      </c>
      <c r="C26" s="14">
        <v>36792</v>
      </c>
      <c r="D26" s="9">
        <v>0.5</v>
      </c>
    </row>
    <row r="27" spans="1:24">
      <c r="A27" t="s">
        <v>13</v>
      </c>
      <c r="B27" s="11">
        <v>0</v>
      </c>
      <c r="C27" s="11">
        <v>0</v>
      </c>
    </row>
    <row r="28" spans="1:24">
      <c r="A28" t="s">
        <v>12</v>
      </c>
      <c r="B28" s="11">
        <v>0</v>
      </c>
      <c r="C28" s="11">
        <v>0</v>
      </c>
    </row>
    <row r="29" spans="1:24">
      <c r="A29" t="s">
        <v>15</v>
      </c>
      <c r="B29" s="11">
        <v>0</v>
      </c>
      <c r="C29" s="11">
        <v>0</v>
      </c>
    </row>
    <row r="30" spans="1:24">
      <c r="A30" t="s">
        <v>70</v>
      </c>
      <c r="B30" s="11">
        <v>0</v>
      </c>
      <c r="C30" s="11">
        <v>0</v>
      </c>
    </row>
    <row r="31" spans="1:24">
      <c r="A31" t="s">
        <v>71</v>
      </c>
      <c r="B31" s="11">
        <v>0</v>
      </c>
      <c r="C31" s="11">
        <v>0</v>
      </c>
    </row>
    <row r="32" spans="1:24">
      <c r="A32" t="s">
        <v>56</v>
      </c>
      <c r="B32" s="11">
        <f>-(25000*12)/52/2</f>
        <v>-2884.6153846153848</v>
      </c>
      <c r="C32" s="11">
        <f>-(25000*12)/52/2</f>
        <v>-2884.6153846153848</v>
      </c>
      <c r="D32" s="6" t="s">
        <v>52</v>
      </c>
    </row>
    <row r="33" spans="1:4">
      <c r="A33" t="s">
        <v>11</v>
      </c>
      <c r="B33" s="11">
        <v>0</v>
      </c>
      <c r="C33" s="11">
        <v>0</v>
      </c>
    </row>
    <row r="34" spans="1:4">
      <c r="A34" t="s">
        <v>33</v>
      </c>
      <c r="B34" s="11">
        <v>0</v>
      </c>
      <c r="C34" s="11">
        <v>0</v>
      </c>
    </row>
    <row r="35" spans="1:4">
      <c r="A35" s="1" t="s">
        <v>29</v>
      </c>
      <c r="B35" s="13">
        <f>SUM(B21:B34)</f>
        <v>64565.134615384617</v>
      </c>
      <c r="C35" s="13">
        <f>SUM(C21:C34)</f>
        <v>64565.134615384617</v>
      </c>
    </row>
    <row r="36" spans="1:4">
      <c r="C36" s="11"/>
    </row>
    <row r="37" spans="1:4">
      <c r="A37" s="1" t="s">
        <v>18</v>
      </c>
      <c r="C37" s="11"/>
    </row>
    <row r="38" spans="1:4">
      <c r="A38" t="s">
        <v>43</v>
      </c>
      <c r="B38" s="11">
        <v>2318.91</v>
      </c>
      <c r="C38" s="11">
        <v>2318.91</v>
      </c>
    </row>
    <row r="39" spans="1:4">
      <c r="A39" t="s">
        <v>42</v>
      </c>
      <c r="B39" s="11">
        <f>-146-300-500</f>
        <v>-946</v>
      </c>
      <c r="C39" s="11">
        <f>-146-300-500</f>
        <v>-946</v>
      </c>
      <c r="D39" s="6" t="s">
        <v>5</v>
      </c>
    </row>
    <row r="40" spans="1:4">
      <c r="A40" t="s">
        <v>20</v>
      </c>
      <c r="B40" s="11">
        <f>-15600/52/2</f>
        <v>-150</v>
      </c>
      <c r="C40" s="11">
        <f>-15600/52/2</f>
        <v>-150</v>
      </c>
      <c r="D40" s="6" t="s">
        <v>63</v>
      </c>
    </row>
    <row r="41" spans="1:4">
      <c r="A41" t="s">
        <v>21</v>
      </c>
      <c r="B41" s="11">
        <v>0</v>
      </c>
      <c r="C41" s="11">
        <v>0</v>
      </c>
      <c r="D41" s="6" t="s">
        <v>64</v>
      </c>
    </row>
    <row r="42" spans="1:4">
      <c r="A42" t="s">
        <v>22</v>
      </c>
      <c r="B42" s="11">
        <v>0</v>
      </c>
      <c r="C42" s="11">
        <v>0</v>
      </c>
      <c r="D42" s="6" t="s">
        <v>64</v>
      </c>
    </row>
    <row r="43" spans="1:4">
      <c r="A43" t="s">
        <v>33</v>
      </c>
      <c r="B43" s="11">
        <v>0</v>
      </c>
      <c r="C43" s="11">
        <v>0</v>
      </c>
      <c r="D43" s="6" t="s">
        <v>64</v>
      </c>
    </row>
    <row r="44" spans="1:4">
      <c r="A44" t="s">
        <v>34</v>
      </c>
      <c r="B44" s="11">
        <v>-50</v>
      </c>
      <c r="C44" s="11">
        <v>-50</v>
      </c>
      <c r="D44" s="6" t="s">
        <v>49</v>
      </c>
    </row>
    <row r="45" spans="1:4">
      <c r="A45" s="1" t="s">
        <v>30</v>
      </c>
      <c r="B45" s="13">
        <f>SUM(B38:B44)*0.75</f>
        <v>879.68249999999989</v>
      </c>
      <c r="C45" s="13">
        <f>SUM(C38:C44)*0.75</f>
        <v>879.68249999999989</v>
      </c>
    </row>
    <row r="46" spans="1:4">
      <c r="C46" s="11"/>
    </row>
    <row r="47" spans="1:4">
      <c r="A47" s="1" t="s">
        <v>19</v>
      </c>
      <c r="C47" s="11"/>
    </row>
    <row r="48" spans="1:4">
      <c r="A48" t="s">
        <v>44</v>
      </c>
      <c r="B48" s="11">
        <v>1833</v>
      </c>
      <c r="C48" s="11">
        <v>1833</v>
      </c>
    </row>
    <row r="49" spans="1:4">
      <c r="A49" t="s">
        <v>4</v>
      </c>
      <c r="B49" s="11">
        <f>-625</f>
        <v>-625</v>
      </c>
      <c r="C49" s="11">
        <f>-625</f>
        <v>-625</v>
      </c>
      <c r="D49" s="6" t="s">
        <v>48</v>
      </c>
    </row>
    <row r="50" spans="1:4">
      <c r="A50" t="s">
        <v>20</v>
      </c>
      <c r="B50" s="11">
        <f>-15600/52/2</f>
        <v>-150</v>
      </c>
      <c r="C50" s="11">
        <f>-15600/52/2</f>
        <v>-150</v>
      </c>
      <c r="D50" s="16" t="s">
        <v>63</v>
      </c>
    </row>
    <row r="51" spans="1:4">
      <c r="A51" t="s">
        <v>21</v>
      </c>
      <c r="B51" s="11">
        <v>0</v>
      </c>
      <c r="C51" s="11">
        <v>0</v>
      </c>
      <c r="D51" s="6" t="s">
        <v>64</v>
      </c>
    </row>
    <row r="52" spans="1:4">
      <c r="A52" t="s">
        <v>22</v>
      </c>
      <c r="B52" s="11">
        <v>0</v>
      </c>
      <c r="C52" s="11">
        <v>0</v>
      </c>
      <c r="D52" s="6" t="s">
        <v>64</v>
      </c>
    </row>
    <row r="53" spans="1:4">
      <c r="A53" t="s">
        <v>33</v>
      </c>
      <c r="B53" s="11">
        <v>0</v>
      </c>
      <c r="C53" s="11">
        <v>0</v>
      </c>
      <c r="D53" s="6" t="s">
        <v>64</v>
      </c>
    </row>
    <row r="54" spans="1:4">
      <c r="A54" t="s">
        <v>34</v>
      </c>
      <c r="B54" s="11">
        <v>-50</v>
      </c>
      <c r="C54" s="11">
        <v>-50</v>
      </c>
      <c r="D54" s="6" t="s">
        <v>49</v>
      </c>
    </row>
    <row r="55" spans="1:4">
      <c r="A55" t="s">
        <v>35</v>
      </c>
      <c r="B55" s="11">
        <f>-962/52</f>
        <v>-18.5</v>
      </c>
      <c r="C55" s="11">
        <f>-962/52</f>
        <v>-18.5</v>
      </c>
      <c r="D55" s="6" t="s">
        <v>50</v>
      </c>
    </row>
    <row r="56" spans="1:4">
      <c r="A56" s="1" t="s">
        <v>31</v>
      </c>
      <c r="B56" s="13">
        <f>SUM(B48:B55)</f>
        <v>989.5</v>
      </c>
      <c r="C56" s="13">
        <f>SUM(C48:C55)</f>
        <v>989.5</v>
      </c>
    </row>
    <row r="57" spans="1:4">
      <c r="C57" s="11"/>
    </row>
    <row r="58" spans="1:4">
      <c r="A58" s="3" t="s">
        <v>32</v>
      </c>
      <c r="B58" s="13">
        <f>B18+B35+B45+B56</f>
        <v>66766.932499999995</v>
      </c>
      <c r="C58" s="13">
        <f>C18+C35+C45+C56</f>
        <v>66728.470961538464</v>
      </c>
    </row>
    <row r="59" spans="1:4">
      <c r="C59" s="11"/>
    </row>
    <row r="60" spans="1:4">
      <c r="A60" s="5"/>
      <c r="C60" s="11"/>
    </row>
    <row r="61" spans="1:4">
      <c r="A61" s="5" t="s">
        <v>40</v>
      </c>
      <c r="B61" s="15">
        <f>(B18+B35+B45)*0.6+(B56)*0.45</f>
        <v>39911.734499999999</v>
      </c>
      <c r="C61" s="15">
        <f>B61</f>
        <v>39911.734499999999</v>
      </c>
      <c r="D61" s="9" t="s">
        <v>66</v>
      </c>
    </row>
    <row r="62" spans="1:4">
      <c r="A62" s="5" t="s">
        <v>41</v>
      </c>
      <c r="B62" s="15">
        <f>(B18+B35+B45)*0.2+(B56)*0.2</f>
        <v>13353.386499999999</v>
      </c>
      <c r="C62" s="15">
        <f>B62</f>
        <v>13353.386499999999</v>
      </c>
      <c r="D62" s="9" t="s">
        <v>67</v>
      </c>
    </row>
    <row r="63" spans="1:4">
      <c r="A63" s="5" t="s">
        <v>39</v>
      </c>
      <c r="B63" s="15">
        <f>(B18+B35+B45)*0.2+(B56)*0.2</f>
        <v>13353.386499999999</v>
      </c>
      <c r="C63" s="15">
        <f>B63</f>
        <v>13353.386499999999</v>
      </c>
      <c r="D63" s="9" t="s">
        <v>67</v>
      </c>
    </row>
    <row r="64" spans="1:4">
      <c r="A64" s="5" t="s">
        <v>68</v>
      </c>
      <c r="B64" s="15">
        <f>B56*0.15</f>
        <v>148.42499999999998</v>
      </c>
      <c r="C64" s="15">
        <f>B64</f>
        <v>148.42499999999998</v>
      </c>
      <c r="D64" s="9" t="s">
        <v>69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"/>
  <sheetViews>
    <sheetView topLeftCell="A4" workbookViewId="0">
      <selection activeCell="A43" sqref="A43:A44"/>
    </sheetView>
  </sheetViews>
  <sheetFormatPr defaultRowHeight="15"/>
  <cols>
    <col min="1" max="1" width="24.7109375" customWidth="1"/>
    <col min="2" max="2" width="15.7109375" style="11" customWidth="1"/>
    <col min="3" max="3" width="15.7109375" customWidth="1"/>
    <col min="4" max="4" width="24.7109375" customWidth="1"/>
    <col min="6" max="6" width="10.85546875" bestFit="1" customWidth="1"/>
  </cols>
  <sheetData>
    <row r="1" spans="1:4" ht="21">
      <c r="A1" s="4" t="s">
        <v>0</v>
      </c>
      <c r="D1" s="6"/>
    </row>
    <row r="2" spans="1:4">
      <c r="D2" s="6"/>
    </row>
    <row r="3" spans="1:4">
      <c r="A3" s="1" t="s">
        <v>3</v>
      </c>
      <c r="B3" s="12" t="s">
        <v>9</v>
      </c>
      <c r="C3" s="2" t="s">
        <v>10</v>
      </c>
      <c r="D3" s="2" t="s">
        <v>54</v>
      </c>
    </row>
    <row r="4" spans="1:4">
      <c r="A4" s="1"/>
      <c r="B4" s="12"/>
      <c r="C4" s="2"/>
      <c r="D4" s="6"/>
    </row>
    <row r="5" spans="1:4">
      <c r="A5" s="1" t="s">
        <v>16</v>
      </c>
      <c r="B5" s="12"/>
      <c r="C5" s="2"/>
      <c r="D5" s="6"/>
    </row>
    <row r="6" spans="1:4">
      <c r="A6" t="s">
        <v>45</v>
      </c>
      <c r="B6" s="11">
        <v>6843.91</v>
      </c>
      <c r="C6" s="11">
        <f>B6+'Week Apr 16-22'!C6</f>
        <v>9609.91</v>
      </c>
      <c r="D6" s="6"/>
    </row>
    <row r="7" spans="1:4">
      <c r="A7" t="s">
        <v>46</v>
      </c>
      <c r="B7" s="11">
        <v>1871</v>
      </c>
      <c r="C7" s="11">
        <f>B7+'Week Apr 16-22'!C7</f>
        <v>11633</v>
      </c>
      <c r="D7" s="17" t="s">
        <v>65</v>
      </c>
    </row>
    <row r="8" spans="1:4">
      <c r="A8" t="s">
        <v>47</v>
      </c>
      <c r="B8" s="11">
        <v>29.99</v>
      </c>
      <c r="C8" s="11">
        <f>B8+'Week Apr 16-22'!C8</f>
        <v>29.99</v>
      </c>
      <c r="D8" s="6"/>
    </row>
    <row r="9" spans="1:4">
      <c r="A9" t="s">
        <v>24</v>
      </c>
      <c r="B9" s="11">
        <f>-344-174-170-200-260-483-375-250-250-1000-750-222-364-300-375-400-250-209-250-250-250-750</f>
        <v>-7876</v>
      </c>
      <c r="C9" s="11">
        <f>B9+'Week Apr 16-22'!C9</f>
        <v>-15806</v>
      </c>
      <c r="D9" s="6"/>
    </row>
    <row r="10" spans="1:4">
      <c r="A10" t="s">
        <v>23</v>
      </c>
      <c r="B10" s="18">
        <v>0</v>
      </c>
      <c r="C10" s="11">
        <f>B10+'Week Apr 16-22'!C10</f>
        <v>-115</v>
      </c>
      <c r="D10" s="6"/>
    </row>
    <row r="11" spans="1:4">
      <c r="A11" t="s">
        <v>38</v>
      </c>
      <c r="B11" s="11">
        <f>-16800/52</f>
        <v>-323.07692307692309</v>
      </c>
      <c r="C11" s="11">
        <f>B11+'Week Apr 16-22'!C11</f>
        <v>-646.15384615384619</v>
      </c>
      <c r="D11" s="6" t="s">
        <v>60</v>
      </c>
    </row>
    <row r="12" spans="1:4">
      <c r="A12" t="s">
        <v>55</v>
      </c>
      <c r="B12" s="11">
        <f>-(25000*12)/52/2</f>
        <v>-2884.6153846153848</v>
      </c>
      <c r="C12" s="11">
        <f>B12+'Week Apr 16-22'!C12</f>
        <v>-5769.2307692307695</v>
      </c>
      <c r="D12" s="6" t="s">
        <v>52</v>
      </c>
    </row>
    <row r="13" spans="1:4">
      <c r="A13" t="s">
        <v>25</v>
      </c>
      <c r="B13" s="11">
        <f>-4820/52</f>
        <v>-92.692307692307693</v>
      </c>
      <c r="C13" s="11">
        <f>B13+'Week Apr 16-22'!C13</f>
        <v>-185.38461538461539</v>
      </c>
      <c r="D13" s="6" t="s">
        <v>61</v>
      </c>
    </row>
    <row r="14" spans="1:4">
      <c r="A14" t="s">
        <v>26</v>
      </c>
      <c r="B14" s="11">
        <f>-12000/52</f>
        <v>-230.76923076923077</v>
      </c>
      <c r="C14" s="11">
        <f>B14+'Week Apr 16-22'!C14</f>
        <v>-461.53846153846155</v>
      </c>
      <c r="D14" s="6" t="s">
        <v>51</v>
      </c>
    </row>
    <row r="15" spans="1:4">
      <c r="A15" t="s">
        <v>27</v>
      </c>
      <c r="B15" s="11">
        <f>-24000/52</f>
        <v>-461.53846153846155</v>
      </c>
      <c r="C15" s="11">
        <f>B15+'Week Apr 16-22'!C15</f>
        <v>-961.53846153846155</v>
      </c>
      <c r="D15" s="6" t="s">
        <v>53</v>
      </c>
    </row>
    <row r="16" spans="1:4">
      <c r="A16" t="s">
        <v>36</v>
      </c>
      <c r="B16" s="11">
        <f>-8200/52</f>
        <v>-157.69230769230768</v>
      </c>
      <c r="C16" s="11">
        <f>B16+'Week Apr 16-22'!C16</f>
        <v>-315.38461538461536</v>
      </c>
      <c r="D16" s="6" t="s">
        <v>62</v>
      </c>
    </row>
    <row r="17" spans="1:4">
      <c r="A17" t="s">
        <v>33</v>
      </c>
      <c r="B17" s="11">
        <v>0</v>
      </c>
      <c r="C17" s="11">
        <f>B17+'Week Apr 16-22'!C17</f>
        <v>0</v>
      </c>
      <c r="D17" s="6" t="s">
        <v>64</v>
      </c>
    </row>
    <row r="18" spans="1:4">
      <c r="A18" s="1" t="s">
        <v>28</v>
      </c>
      <c r="B18" s="13">
        <f>SUM(B6:B17)</f>
        <v>-3281.4846153846156</v>
      </c>
      <c r="C18" s="13">
        <f>B18+'Week Apr 16-22'!C18</f>
        <v>-2987.3307692307694</v>
      </c>
      <c r="D18" s="6"/>
    </row>
    <row r="19" spans="1:4">
      <c r="D19" s="6"/>
    </row>
    <row r="20" spans="1:4">
      <c r="A20" s="1" t="s">
        <v>17</v>
      </c>
      <c r="D20" s="7" t="s">
        <v>37</v>
      </c>
    </row>
    <row r="21" spans="1:4">
      <c r="A21" t="s">
        <v>1</v>
      </c>
      <c r="B21" s="11">
        <v>11440</v>
      </c>
      <c r="C21" s="11">
        <f>B21+'Week Apr 16-22'!C21</f>
        <v>30191</v>
      </c>
      <c r="D21" s="8">
        <v>1</v>
      </c>
    </row>
    <row r="22" spans="1:4">
      <c r="A22" t="s">
        <v>6</v>
      </c>
      <c r="B22" s="11">
        <v>-10</v>
      </c>
      <c r="C22" s="11">
        <f>B22+'Week Apr 16-22'!C22</f>
        <v>-23.25</v>
      </c>
      <c r="D22" s="9">
        <v>0.25</v>
      </c>
    </row>
    <row r="23" spans="1:4">
      <c r="A23" t="s">
        <v>7</v>
      </c>
      <c r="B23" s="11">
        <v>-2672.5</v>
      </c>
      <c r="C23" s="11">
        <f>B23+'Week Apr 16-22'!C23</f>
        <v>-1520.5</v>
      </c>
      <c r="D23" s="9">
        <v>0.5</v>
      </c>
    </row>
    <row r="24" spans="1:4">
      <c r="A24" t="s">
        <v>8</v>
      </c>
      <c r="B24" s="11">
        <v>-995</v>
      </c>
      <c r="C24" s="11">
        <f>B24+'Week Apr 16-22'!C24</f>
        <v>-1599</v>
      </c>
      <c r="D24" s="9">
        <v>0.25</v>
      </c>
    </row>
    <row r="25" spans="1:4">
      <c r="A25" t="s">
        <v>14</v>
      </c>
      <c r="B25" s="14">
        <v>-3292</v>
      </c>
      <c r="C25" s="11">
        <f>B25+'Week Apr 16-22'!C25</f>
        <v>8080</v>
      </c>
      <c r="D25" s="10">
        <v>0.375</v>
      </c>
    </row>
    <row r="26" spans="1:4">
      <c r="A26" t="s">
        <v>2</v>
      </c>
      <c r="B26" s="14">
        <v>-13553</v>
      </c>
      <c r="C26" s="11">
        <f>B26+'Week Apr 16-22'!C26</f>
        <v>23239</v>
      </c>
      <c r="D26" s="9">
        <v>0.5</v>
      </c>
    </row>
    <row r="27" spans="1:4">
      <c r="A27" t="s">
        <v>13</v>
      </c>
      <c r="B27" s="11">
        <v>0</v>
      </c>
      <c r="C27" s="11">
        <f>B27+'Week Apr 16-22'!C27</f>
        <v>0</v>
      </c>
      <c r="D27" s="6"/>
    </row>
    <row r="28" spans="1:4">
      <c r="A28" t="s">
        <v>12</v>
      </c>
      <c r="B28" s="11">
        <v>0</v>
      </c>
      <c r="C28" s="11">
        <f>B28+'Week Apr 16-22'!C28</f>
        <v>0</v>
      </c>
      <c r="D28" s="6"/>
    </row>
    <row r="29" spans="1:4">
      <c r="A29" t="s">
        <v>15</v>
      </c>
      <c r="B29" s="11">
        <v>0</v>
      </c>
      <c r="C29" s="11">
        <f>B29+'Week Apr 16-22'!C29</f>
        <v>0</v>
      </c>
      <c r="D29" s="6"/>
    </row>
    <row r="30" spans="1:4">
      <c r="A30" t="s">
        <v>70</v>
      </c>
      <c r="B30" s="11">
        <v>0</v>
      </c>
      <c r="C30" s="11">
        <f>B30+'Week Apr 16-22'!C30</f>
        <v>0</v>
      </c>
      <c r="D30" s="6"/>
    </row>
    <row r="31" spans="1:4">
      <c r="A31" t="s">
        <v>71</v>
      </c>
      <c r="B31" s="11">
        <v>0</v>
      </c>
      <c r="C31" s="11">
        <f>B31+'Week Apr 16-22'!C31</f>
        <v>0</v>
      </c>
      <c r="D31" s="6"/>
    </row>
    <row r="32" spans="1:4">
      <c r="A32" t="s">
        <v>56</v>
      </c>
      <c r="B32" s="11">
        <f>-(25000*12)/52/2</f>
        <v>-2884.6153846153848</v>
      </c>
      <c r="C32" s="11">
        <f>B32+'Week Apr 16-22'!C32</f>
        <v>-5769.2307692307695</v>
      </c>
      <c r="D32" s="6" t="s">
        <v>52</v>
      </c>
    </row>
    <row r="33" spans="1:5">
      <c r="A33" t="s">
        <v>11</v>
      </c>
      <c r="B33" s="11">
        <v>0</v>
      </c>
      <c r="C33" s="11">
        <f>B33+'Week Apr 16-22'!C33</f>
        <v>0</v>
      </c>
      <c r="D33" s="6"/>
    </row>
    <row r="34" spans="1:5">
      <c r="A34" t="s">
        <v>33</v>
      </c>
      <c r="B34" s="11">
        <v>0</v>
      </c>
      <c r="C34" s="11">
        <f>B34+'Week Apr 16-22'!C34</f>
        <v>0</v>
      </c>
      <c r="D34" s="6"/>
    </row>
    <row r="35" spans="1:5">
      <c r="A35" s="1" t="s">
        <v>29</v>
      </c>
      <c r="B35" s="13">
        <f>SUM(B21:B34)</f>
        <v>-11967.115384615385</v>
      </c>
      <c r="C35" s="13">
        <f>B35+'Week Apr 16-22'!C35</f>
        <v>52598.019230769234</v>
      </c>
      <c r="D35" s="6"/>
      <c r="E35" t="s">
        <v>59</v>
      </c>
    </row>
    <row r="36" spans="1:5">
      <c r="D36" s="6"/>
    </row>
    <row r="37" spans="1:5">
      <c r="A37" s="1" t="s">
        <v>18</v>
      </c>
      <c r="D37" s="6"/>
    </row>
    <row r="38" spans="1:5">
      <c r="A38" t="s">
        <v>43</v>
      </c>
      <c r="B38" s="11">
        <v>2293.2600000000002</v>
      </c>
      <c r="C38" s="11">
        <f>B38+'Week Apr 16-22'!C38</f>
        <v>4612.17</v>
      </c>
      <c r="D38" s="6"/>
    </row>
    <row r="39" spans="1:5">
      <c r="A39" t="s">
        <v>42</v>
      </c>
      <c r="B39" s="11">
        <f>-150-300-500</f>
        <v>-950</v>
      </c>
      <c r="C39" s="11">
        <f>B39+'Week Apr 16-22'!C39</f>
        <v>-1896</v>
      </c>
      <c r="D39" s="6" t="s">
        <v>5</v>
      </c>
    </row>
    <row r="40" spans="1:5">
      <c r="A40" t="s">
        <v>20</v>
      </c>
      <c r="B40" s="11">
        <f>-15600/52/2</f>
        <v>-150</v>
      </c>
      <c r="C40" s="11">
        <f>B40+'Week Apr 16-22'!C40</f>
        <v>-300</v>
      </c>
      <c r="D40" s="6" t="s">
        <v>63</v>
      </c>
    </row>
    <row r="41" spans="1:5">
      <c r="A41" t="s">
        <v>21</v>
      </c>
      <c r="B41" s="11">
        <v>0</v>
      </c>
      <c r="C41" s="11">
        <f>B41+'Week Apr 16-22'!C41</f>
        <v>0</v>
      </c>
      <c r="D41" s="6" t="s">
        <v>64</v>
      </c>
    </row>
    <row r="42" spans="1:5">
      <c r="A42" t="s">
        <v>22</v>
      </c>
      <c r="B42" s="11">
        <v>0</v>
      </c>
      <c r="C42" s="11">
        <f>B42+'Week Apr 16-22'!C42</f>
        <v>0</v>
      </c>
      <c r="D42" s="6" t="s">
        <v>64</v>
      </c>
    </row>
    <row r="43" spans="1:5">
      <c r="A43" t="s">
        <v>33</v>
      </c>
      <c r="B43" s="11">
        <v>0</v>
      </c>
      <c r="C43" s="11">
        <f>B43+'Week Apr 16-22'!C43</f>
        <v>0</v>
      </c>
      <c r="D43" s="6" t="s">
        <v>64</v>
      </c>
    </row>
    <row r="44" spans="1:5">
      <c r="A44" t="s">
        <v>34</v>
      </c>
      <c r="B44" s="11">
        <v>-50</v>
      </c>
      <c r="C44" s="11">
        <f>B44+'Week Apr 16-22'!C44</f>
        <v>-100</v>
      </c>
      <c r="D44" s="6" t="s">
        <v>49</v>
      </c>
    </row>
    <row r="45" spans="1:5">
      <c r="A45" s="1" t="s">
        <v>30</v>
      </c>
      <c r="B45" s="13">
        <f>SUM(B38:B44)*0.75</f>
        <v>857.44500000000016</v>
      </c>
      <c r="C45" s="13">
        <f>B45+'Week Apr 16-22'!C45</f>
        <v>1737.1275000000001</v>
      </c>
      <c r="D45" s="6"/>
    </row>
    <row r="46" spans="1:5">
      <c r="D46" s="6"/>
    </row>
    <row r="47" spans="1:5">
      <c r="A47" s="1" t="s">
        <v>19</v>
      </c>
      <c r="D47" s="6"/>
    </row>
    <row r="48" spans="1:5">
      <c r="A48" t="s">
        <v>44</v>
      </c>
      <c r="B48" s="11">
        <v>49135</v>
      </c>
      <c r="C48" s="11">
        <f>B48+'Week Apr 16-22'!C48</f>
        <v>50968</v>
      </c>
      <c r="D48" s="6"/>
    </row>
    <row r="49" spans="1:4">
      <c r="A49" t="s">
        <v>4</v>
      </c>
      <c r="B49" s="11">
        <f>-625</f>
        <v>-625</v>
      </c>
      <c r="C49" s="11">
        <f>B49+'Week Apr 16-22'!C49</f>
        <v>-1250</v>
      </c>
      <c r="D49" s="6" t="s">
        <v>48</v>
      </c>
    </row>
    <row r="50" spans="1:4">
      <c r="A50" t="s">
        <v>20</v>
      </c>
      <c r="B50" s="11">
        <f>-15600/52/2</f>
        <v>-150</v>
      </c>
      <c r="C50" s="11">
        <f>B50+'Week Apr 16-22'!C50</f>
        <v>-300</v>
      </c>
      <c r="D50" s="16" t="s">
        <v>63</v>
      </c>
    </row>
    <row r="51" spans="1:4">
      <c r="A51" t="s">
        <v>21</v>
      </c>
      <c r="B51" s="11">
        <v>0</v>
      </c>
      <c r="C51" s="11">
        <f>B51+'Week Apr 16-22'!C51</f>
        <v>0</v>
      </c>
      <c r="D51" s="6" t="s">
        <v>64</v>
      </c>
    </row>
    <row r="52" spans="1:4">
      <c r="A52" t="s">
        <v>22</v>
      </c>
      <c r="B52" s="11">
        <v>0</v>
      </c>
      <c r="C52" s="11">
        <f>B52+'Week Apr 16-22'!C52</f>
        <v>0</v>
      </c>
      <c r="D52" s="6" t="s">
        <v>64</v>
      </c>
    </row>
    <row r="53" spans="1:4">
      <c r="A53" t="s">
        <v>33</v>
      </c>
      <c r="B53" s="11">
        <v>0</v>
      </c>
      <c r="C53" s="11">
        <f>B53+'Week Apr 16-22'!C53</f>
        <v>0</v>
      </c>
      <c r="D53" s="6" t="s">
        <v>64</v>
      </c>
    </row>
    <row r="54" spans="1:4">
      <c r="A54" t="s">
        <v>34</v>
      </c>
      <c r="B54" s="11">
        <v>-50</v>
      </c>
      <c r="C54" s="11">
        <f>B54+'Week Apr 16-22'!C54</f>
        <v>-100</v>
      </c>
      <c r="D54" s="6" t="s">
        <v>49</v>
      </c>
    </row>
    <row r="55" spans="1:4">
      <c r="A55" t="s">
        <v>35</v>
      </c>
      <c r="B55" s="11">
        <f>-962/52</f>
        <v>-18.5</v>
      </c>
      <c r="C55" s="11">
        <f>B55+'Week Apr 16-22'!C55</f>
        <v>-37</v>
      </c>
      <c r="D55" s="6" t="s">
        <v>50</v>
      </c>
    </row>
    <row r="56" spans="1:4">
      <c r="A56" s="1" t="s">
        <v>31</v>
      </c>
      <c r="B56" s="13">
        <f>SUM(B48:B55)</f>
        <v>48291.5</v>
      </c>
      <c r="C56" s="13">
        <f>B56+'Week Apr 16-22'!C56</f>
        <v>49281</v>
      </c>
      <c r="D56" s="6"/>
    </row>
    <row r="57" spans="1:4">
      <c r="D57" s="6"/>
    </row>
    <row r="58" spans="1:4">
      <c r="A58" s="3" t="s">
        <v>32</v>
      </c>
      <c r="B58" s="13">
        <f>B18+B35+B45+B56</f>
        <v>33900.345000000001</v>
      </c>
      <c r="C58" s="13">
        <f>B58+'Week Apr 16-22'!C58</f>
        <v>100628.81596153846</v>
      </c>
      <c r="D58" s="6"/>
    </row>
    <row r="59" spans="1:4">
      <c r="D59" s="6"/>
    </row>
    <row r="60" spans="1:4">
      <c r="A60" s="5"/>
      <c r="D60" s="6"/>
    </row>
    <row r="61" spans="1:4">
      <c r="A61" s="5" t="s">
        <v>40</v>
      </c>
      <c r="B61" s="15">
        <f>(B18+B35+B45)*0.6+(B56)*0.45</f>
        <v>13096.482</v>
      </c>
      <c r="C61" s="15">
        <f>B61+'Week Apr 16-22'!C61</f>
        <v>53008.216499999995</v>
      </c>
      <c r="D61" s="9" t="s">
        <v>66</v>
      </c>
    </row>
    <row r="62" spans="1:4">
      <c r="A62" s="5" t="s">
        <v>41</v>
      </c>
      <c r="B62" s="15">
        <f>(B18+B35+B45)*0.2+(B56)*0.2</f>
        <v>6780.0690000000013</v>
      </c>
      <c r="C62" s="15">
        <f>B62+'Week Apr 16-22'!C62</f>
        <v>20133.4555</v>
      </c>
      <c r="D62" s="9" t="s">
        <v>67</v>
      </c>
    </row>
    <row r="63" spans="1:4">
      <c r="A63" s="5" t="s">
        <v>39</v>
      </c>
      <c r="B63" s="15">
        <f>(B18+B35+B45)*0.2+(B56)*0.2</f>
        <v>6780.0690000000013</v>
      </c>
      <c r="C63" s="15">
        <f>B63+'Week Apr 16-22'!C63</f>
        <v>20133.4555</v>
      </c>
      <c r="D63" s="9" t="s">
        <v>67</v>
      </c>
    </row>
    <row r="64" spans="1:4">
      <c r="A64" s="5" t="s">
        <v>68</v>
      </c>
      <c r="B64" s="15">
        <f>B56*0.15</f>
        <v>7243.7249999999995</v>
      </c>
      <c r="C64" s="15">
        <f>B64+'Week Apr 16-22'!C64</f>
        <v>7392.15</v>
      </c>
      <c r="D64" s="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activeCell="D29" sqref="D29"/>
    </sheetView>
  </sheetViews>
  <sheetFormatPr defaultRowHeight="15"/>
  <cols>
    <col min="1" max="1" width="24.7109375" customWidth="1"/>
    <col min="2" max="3" width="15.7109375" customWidth="1"/>
    <col min="4" max="4" width="24.7109375" customWidth="1"/>
  </cols>
  <sheetData>
    <row r="1" spans="1:4" ht="21">
      <c r="A1" s="4" t="s">
        <v>0</v>
      </c>
      <c r="B1" s="11"/>
      <c r="D1" s="6"/>
    </row>
    <row r="2" spans="1:4">
      <c r="B2" s="11"/>
      <c r="D2" s="6"/>
    </row>
    <row r="3" spans="1:4">
      <c r="A3" s="1" t="s">
        <v>3</v>
      </c>
      <c r="B3" s="12" t="s">
        <v>9</v>
      </c>
      <c r="C3" s="2" t="s">
        <v>10</v>
      </c>
      <c r="D3" s="2" t="s">
        <v>54</v>
      </c>
    </row>
    <row r="4" spans="1:4">
      <c r="A4" s="1"/>
      <c r="B4" s="12"/>
      <c r="C4" s="2"/>
      <c r="D4" s="6"/>
    </row>
    <row r="5" spans="1:4">
      <c r="A5" s="1" t="s">
        <v>16</v>
      </c>
      <c r="B5" s="12"/>
      <c r="C5" s="2"/>
      <c r="D5" s="6"/>
    </row>
    <row r="6" spans="1:4">
      <c r="A6" t="s">
        <v>45</v>
      </c>
      <c r="B6" s="11">
        <v>4483</v>
      </c>
      <c r="C6" s="11">
        <f>B6+'Week Apr 23-29'!C6</f>
        <v>14092.91</v>
      </c>
      <c r="D6" s="6"/>
    </row>
    <row r="7" spans="1:4">
      <c r="A7" t="s">
        <v>46</v>
      </c>
      <c r="B7" s="11">
        <v>6240</v>
      </c>
      <c r="C7" s="11">
        <f>B7+'Week Apr 23-29'!C7</f>
        <v>17873</v>
      </c>
      <c r="D7" s="17" t="s">
        <v>65</v>
      </c>
    </row>
    <row r="8" spans="1:4">
      <c r="A8" t="s">
        <v>47</v>
      </c>
      <c r="B8" s="11">
        <f>29.99*2</f>
        <v>59.98</v>
      </c>
      <c r="C8" s="11">
        <f>B8+'Week Apr 23-29'!C8</f>
        <v>89.97</v>
      </c>
      <c r="D8" s="6"/>
    </row>
    <row r="9" spans="1:4">
      <c r="A9" t="s">
        <v>24</v>
      </c>
      <c r="B9" s="18">
        <f>-344-174-170-200-260-483-375-250-250-1000-750-222-364-300-375-400-250-209-250-250-250-750</f>
        <v>-7876</v>
      </c>
      <c r="C9" s="11">
        <f>B9+'Week Apr 23-29'!C9</f>
        <v>-23682</v>
      </c>
      <c r="D9" s="6"/>
    </row>
    <row r="10" spans="1:4">
      <c r="A10" t="s">
        <v>23</v>
      </c>
      <c r="B10" s="18">
        <v>-85</v>
      </c>
      <c r="C10" s="11">
        <f>B10+'Week Apr 23-29'!C10</f>
        <v>-200</v>
      </c>
      <c r="D10" s="6"/>
    </row>
    <row r="11" spans="1:4">
      <c r="A11" t="s">
        <v>38</v>
      </c>
      <c r="B11" s="11">
        <f>-16800/52</f>
        <v>-323.07692307692309</v>
      </c>
      <c r="C11" s="11">
        <f>B11+'Week Apr 23-29'!C11</f>
        <v>-969.23076923076928</v>
      </c>
      <c r="D11" s="6" t="s">
        <v>60</v>
      </c>
    </row>
    <row r="12" spans="1:4">
      <c r="A12" t="s">
        <v>55</v>
      </c>
      <c r="B12" s="11">
        <f>-(25000*12)/52/2</f>
        <v>-2884.6153846153848</v>
      </c>
      <c r="C12" s="11">
        <f>B12+'Week Apr 23-29'!C12</f>
        <v>-8653.8461538461543</v>
      </c>
      <c r="D12" s="6" t="s">
        <v>52</v>
      </c>
    </row>
    <row r="13" spans="1:4">
      <c r="A13" t="s">
        <v>25</v>
      </c>
      <c r="B13" s="11">
        <f>-4820/52</f>
        <v>-92.692307692307693</v>
      </c>
      <c r="C13" s="11">
        <f>B13+'Week Apr 23-29'!C13</f>
        <v>-278.07692307692309</v>
      </c>
      <c r="D13" s="6" t="s">
        <v>61</v>
      </c>
    </row>
    <row r="14" spans="1:4">
      <c r="A14" t="s">
        <v>26</v>
      </c>
      <c r="B14" s="11">
        <f>-12000/52</f>
        <v>-230.76923076923077</v>
      </c>
      <c r="C14" s="11">
        <f>B14+'Week Apr 23-29'!C14</f>
        <v>-692.30769230769238</v>
      </c>
      <c r="D14" s="6" t="s">
        <v>51</v>
      </c>
    </row>
    <row r="15" spans="1:4">
      <c r="A15" t="s">
        <v>27</v>
      </c>
      <c r="B15" s="11">
        <f>-24000/52</f>
        <v>-461.53846153846155</v>
      </c>
      <c r="C15" s="11">
        <f>B15+'Week Apr 23-29'!C15</f>
        <v>-1423.0769230769231</v>
      </c>
      <c r="D15" s="6" t="s">
        <v>53</v>
      </c>
    </row>
    <row r="16" spans="1:4">
      <c r="A16" t="s">
        <v>36</v>
      </c>
      <c r="B16" s="11">
        <f>-8200/52</f>
        <v>-157.69230769230768</v>
      </c>
      <c r="C16" s="11">
        <f>B16+'Week Apr 23-29'!C16</f>
        <v>-473.07692307692304</v>
      </c>
      <c r="D16" s="6" t="s">
        <v>62</v>
      </c>
    </row>
    <row r="17" spans="1:4">
      <c r="A17" t="s">
        <v>33</v>
      </c>
      <c r="B17" s="19">
        <v>0</v>
      </c>
      <c r="C17" s="11">
        <f>B17+'Week Apr 23-29'!C17</f>
        <v>0</v>
      </c>
      <c r="D17" s="6" t="s">
        <v>64</v>
      </c>
    </row>
    <row r="18" spans="1:4">
      <c r="A18" s="1" t="s">
        <v>28</v>
      </c>
      <c r="B18" s="13">
        <f>SUM(B6:B17)</f>
        <v>-1328.4046153846157</v>
      </c>
      <c r="C18" s="13">
        <f>B18+'Week Apr 23-29'!C18</f>
        <v>-4315.7353846153856</v>
      </c>
      <c r="D18" s="6"/>
    </row>
    <row r="19" spans="1:4">
      <c r="B19" s="11"/>
      <c r="D19" s="6"/>
    </row>
    <row r="20" spans="1:4">
      <c r="A20" s="1" t="s">
        <v>17</v>
      </c>
      <c r="B20" s="11"/>
      <c r="D20" s="7" t="s">
        <v>37</v>
      </c>
    </row>
    <row r="21" spans="1:4">
      <c r="A21" t="s">
        <v>1</v>
      </c>
      <c r="B21" s="11">
        <v>24567</v>
      </c>
      <c r="C21" s="11">
        <f>B21+'Week Apr 23-29'!C21</f>
        <v>54758</v>
      </c>
      <c r="D21" s="8">
        <v>1</v>
      </c>
    </row>
    <row r="22" spans="1:4">
      <c r="A22" t="s">
        <v>6</v>
      </c>
      <c r="B22" s="11">
        <f>257*0.25</f>
        <v>64.25</v>
      </c>
      <c r="C22" s="11">
        <f>B22+'Week Apr 23-29'!C22</f>
        <v>41</v>
      </c>
      <c r="D22" s="9">
        <v>0.25</v>
      </c>
    </row>
    <row r="23" spans="1:4">
      <c r="A23" t="s">
        <v>7</v>
      </c>
      <c r="B23" s="11">
        <f>7247*0.5</f>
        <v>3623.5</v>
      </c>
      <c r="C23" s="11">
        <f>B23+'Week Apr 23-29'!C23</f>
        <v>2103</v>
      </c>
      <c r="D23" s="9">
        <v>0.5</v>
      </c>
    </row>
    <row r="24" spans="1:4">
      <c r="A24" t="s">
        <v>8</v>
      </c>
      <c r="B24" s="11">
        <f>10486*0.25</f>
        <v>2621.5</v>
      </c>
      <c r="C24" s="11">
        <f>B24+'Week Apr 23-29'!C24</f>
        <v>1022.5</v>
      </c>
      <c r="D24" s="9">
        <v>0.25</v>
      </c>
    </row>
    <row r="25" spans="1:4">
      <c r="A25" t="s">
        <v>14</v>
      </c>
      <c r="B25" s="18">
        <v>-5696</v>
      </c>
      <c r="C25" s="11">
        <f>B25+'Week Apr 23-29'!C25</f>
        <v>2384</v>
      </c>
      <c r="D25" s="10">
        <v>0.375</v>
      </c>
    </row>
    <row r="26" spans="1:4">
      <c r="A26" t="s">
        <v>2</v>
      </c>
      <c r="B26" s="18">
        <v>24764</v>
      </c>
      <c r="C26" s="11">
        <f>B26+'Week Apr 23-29'!C26</f>
        <v>48003</v>
      </c>
      <c r="D26" s="9">
        <v>0.5</v>
      </c>
    </row>
    <row r="27" spans="1:4">
      <c r="A27" t="s">
        <v>13</v>
      </c>
      <c r="B27" s="11">
        <v>0</v>
      </c>
      <c r="C27" s="11">
        <f>B27+'Week Apr 23-29'!C27</f>
        <v>0</v>
      </c>
      <c r="D27" s="6"/>
    </row>
    <row r="28" spans="1:4">
      <c r="A28" t="s">
        <v>12</v>
      </c>
      <c r="B28" s="11">
        <v>0</v>
      </c>
      <c r="C28" s="11">
        <f>B28+'Week Apr 23-29'!C28</f>
        <v>0</v>
      </c>
      <c r="D28" s="6"/>
    </row>
    <row r="29" spans="1:4">
      <c r="A29" t="s">
        <v>15</v>
      </c>
      <c r="B29" s="11">
        <v>0</v>
      </c>
      <c r="C29" s="11">
        <f>B29+'Week Apr 23-29'!C29</f>
        <v>0</v>
      </c>
      <c r="D29" s="6"/>
    </row>
    <row r="30" spans="1:4">
      <c r="A30" t="s">
        <v>70</v>
      </c>
      <c r="B30" s="11">
        <v>0</v>
      </c>
      <c r="C30" s="11">
        <f>B30+'Week Apr 23-29'!C30</f>
        <v>0</v>
      </c>
      <c r="D30" s="6"/>
    </row>
    <row r="31" spans="1:4">
      <c r="A31" t="s">
        <v>71</v>
      </c>
      <c r="B31" s="11">
        <v>0</v>
      </c>
      <c r="C31" s="11">
        <f>B31+'Week Apr 23-29'!C31</f>
        <v>0</v>
      </c>
      <c r="D31" s="6"/>
    </row>
    <row r="32" spans="1:4">
      <c r="A32" t="s">
        <v>56</v>
      </c>
      <c r="B32" s="11">
        <f>-(25000*12)/52/2</f>
        <v>-2884.6153846153848</v>
      </c>
      <c r="C32" s="11">
        <f>B32+'Week Apr 23-29'!C32</f>
        <v>-8653.8461538461543</v>
      </c>
      <c r="D32" s="6" t="s">
        <v>52</v>
      </c>
    </row>
    <row r="33" spans="1:4">
      <c r="A33" t="s">
        <v>11</v>
      </c>
      <c r="B33" s="11">
        <v>0</v>
      </c>
      <c r="C33" s="11">
        <f>B33+'Week Apr 23-29'!C33</f>
        <v>0</v>
      </c>
      <c r="D33" s="6"/>
    </row>
    <row r="34" spans="1:4">
      <c r="A34" t="s">
        <v>33</v>
      </c>
      <c r="B34" s="19">
        <v>0</v>
      </c>
      <c r="C34" s="11">
        <f>B34+'Week Apr 23-29'!C34</f>
        <v>0</v>
      </c>
      <c r="D34" s="6"/>
    </row>
    <row r="35" spans="1:4">
      <c r="A35" s="1" t="s">
        <v>29</v>
      </c>
      <c r="B35" s="13">
        <f>SUM(B21:B34)</f>
        <v>47059.634615384617</v>
      </c>
      <c r="C35" s="13">
        <f>B35+'Week Apr 23-29'!C35</f>
        <v>99657.653846153844</v>
      </c>
      <c r="D35" s="6"/>
    </row>
    <row r="36" spans="1:4">
      <c r="B36" s="11"/>
      <c r="D36" s="6"/>
    </row>
    <row r="37" spans="1:4">
      <c r="A37" s="1" t="s">
        <v>18</v>
      </c>
      <c r="B37" s="11"/>
      <c r="D37" s="6"/>
    </row>
    <row r="38" spans="1:4">
      <c r="A38" t="s">
        <v>43</v>
      </c>
      <c r="B38" s="11">
        <v>1552.76</v>
      </c>
      <c r="C38" s="11">
        <f>B38+'Week Apr 23-29'!C38</f>
        <v>6164.93</v>
      </c>
      <c r="D38" s="6"/>
    </row>
    <row r="39" spans="1:4">
      <c r="A39" t="s">
        <v>42</v>
      </c>
      <c r="B39" s="19">
        <f>-150-500-300</f>
        <v>-950</v>
      </c>
      <c r="C39" s="11">
        <f>B39+'Week Apr 23-29'!C39</f>
        <v>-2846</v>
      </c>
      <c r="D39" s="6" t="s">
        <v>5</v>
      </c>
    </row>
    <row r="40" spans="1:4">
      <c r="A40" t="s">
        <v>20</v>
      </c>
      <c r="B40" s="11">
        <f>-15600/52/2</f>
        <v>-150</v>
      </c>
      <c r="C40" s="11">
        <f>B40+'Week Apr 23-29'!C40</f>
        <v>-450</v>
      </c>
      <c r="D40" s="6" t="s">
        <v>63</v>
      </c>
    </row>
    <row r="41" spans="1:4">
      <c r="A41" t="s">
        <v>21</v>
      </c>
      <c r="B41" s="19">
        <v>0</v>
      </c>
      <c r="C41" s="11">
        <f>B41+'Week Apr 23-29'!C41</f>
        <v>0</v>
      </c>
      <c r="D41" s="6" t="s">
        <v>64</v>
      </c>
    </row>
    <row r="42" spans="1:4">
      <c r="A42" t="s">
        <v>22</v>
      </c>
      <c r="B42" s="19">
        <v>0</v>
      </c>
      <c r="C42" s="11">
        <f>B42+'Week Apr 23-29'!C42</f>
        <v>0</v>
      </c>
      <c r="D42" s="6" t="s">
        <v>64</v>
      </c>
    </row>
    <row r="43" spans="1:4">
      <c r="A43" t="s">
        <v>33</v>
      </c>
      <c r="B43" s="19">
        <f>-15/2</f>
        <v>-7.5</v>
      </c>
      <c r="C43" s="11">
        <f>B43+'Week Apr 23-29'!C43</f>
        <v>-7.5</v>
      </c>
      <c r="D43" s="6" t="s">
        <v>64</v>
      </c>
    </row>
    <row r="44" spans="1:4">
      <c r="A44" t="s">
        <v>34</v>
      </c>
      <c r="B44" s="19">
        <f>-100/2</f>
        <v>-50</v>
      </c>
      <c r="C44" s="11">
        <f>B44+'Week Apr 23-29'!C44</f>
        <v>-150</v>
      </c>
      <c r="D44" s="6" t="s">
        <v>49</v>
      </c>
    </row>
    <row r="45" spans="1:4">
      <c r="A45" s="1" t="s">
        <v>30</v>
      </c>
      <c r="B45" s="13">
        <f>SUM(B38:B44)*0.75</f>
        <v>296.44499999999999</v>
      </c>
      <c r="C45" s="13">
        <f>B45+'Week Apr 23-29'!C45</f>
        <v>2033.5725</v>
      </c>
      <c r="D45" s="6"/>
    </row>
    <row r="46" spans="1:4">
      <c r="B46" s="11"/>
      <c r="D46" s="6"/>
    </row>
    <row r="47" spans="1:4">
      <c r="A47" s="1" t="s">
        <v>19</v>
      </c>
      <c r="B47" s="11"/>
      <c r="D47" s="6"/>
    </row>
    <row r="48" spans="1:4">
      <c r="A48" t="s">
        <v>44</v>
      </c>
      <c r="B48" s="11">
        <v>61542</v>
      </c>
      <c r="C48" s="11">
        <f>B48+'Week Apr 23-29'!C48</f>
        <v>112510</v>
      </c>
      <c r="D48" s="6"/>
    </row>
    <row r="49" spans="1:4">
      <c r="A49" t="s">
        <v>4</v>
      </c>
      <c r="B49" s="11">
        <f>-625</f>
        <v>-625</v>
      </c>
      <c r="C49" s="11">
        <f>B49+'Week Apr 23-29'!C49</f>
        <v>-1875</v>
      </c>
      <c r="D49" s="6" t="s">
        <v>48</v>
      </c>
    </row>
    <row r="50" spans="1:4">
      <c r="A50" t="s">
        <v>20</v>
      </c>
      <c r="B50" s="11">
        <f>-15600/52/2</f>
        <v>-150</v>
      </c>
      <c r="C50" s="11">
        <f>B50+'Week Apr 23-29'!C50</f>
        <v>-450</v>
      </c>
      <c r="D50" s="16" t="s">
        <v>63</v>
      </c>
    </row>
    <row r="51" spans="1:4">
      <c r="A51" t="s">
        <v>21</v>
      </c>
      <c r="B51" s="19">
        <v>0</v>
      </c>
      <c r="C51" s="11">
        <f>B51+'Week Apr 23-29'!C51</f>
        <v>0</v>
      </c>
      <c r="D51" s="6" t="s">
        <v>64</v>
      </c>
    </row>
    <row r="52" spans="1:4">
      <c r="A52" t="s">
        <v>22</v>
      </c>
      <c r="B52" s="19">
        <v>0</v>
      </c>
      <c r="C52" s="11">
        <f>B52+'Week Apr 23-29'!C52</f>
        <v>0</v>
      </c>
      <c r="D52" s="6" t="s">
        <v>64</v>
      </c>
    </row>
    <row r="53" spans="1:4">
      <c r="A53" t="s">
        <v>33</v>
      </c>
      <c r="B53" s="19">
        <f>-15/2</f>
        <v>-7.5</v>
      </c>
      <c r="C53" s="11">
        <f>B53+'Week Apr 23-29'!C53</f>
        <v>-7.5</v>
      </c>
      <c r="D53" s="6" t="s">
        <v>64</v>
      </c>
    </row>
    <row r="54" spans="1:4">
      <c r="A54" t="s">
        <v>34</v>
      </c>
      <c r="B54" s="19">
        <f>-100/2</f>
        <v>-50</v>
      </c>
      <c r="C54" s="11">
        <f>B54+'Week Apr 23-29'!C54</f>
        <v>-150</v>
      </c>
      <c r="D54" s="6" t="s">
        <v>49</v>
      </c>
    </row>
    <row r="55" spans="1:4">
      <c r="A55" t="s">
        <v>35</v>
      </c>
      <c r="B55" s="11">
        <f>-962/52</f>
        <v>-18.5</v>
      </c>
      <c r="C55" s="11">
        <f>B55+'Week Apr 23-29'!C55</f>
        <v>-55.5</v>
      </c>
      <c r="D55" s="6" t="s">
        <v>50</v>
      </c>
    </row>
    <row r="56" spans="1:4">
      <c r="A56" s="1" t="s">
        <v>31</v>
      </c>
      <c r="B56" s="13">
        <f>SUM(B48:B55)</f>
        <v>60691</v>
      </c>
      <c r="C56" s="13">
        <f>B56+'Week Apr 23-29'!C56</f>
        <v>109972</v>
      </c>
      <c r="D56" s="6"/>
    </row>
    <row r="57" spans="1:4">
      <c r="B57" s="11"/>
      <c r="D57" s="6"/>
    </row>
    <row r="58" spans="1:4">
      <c r="A58" s="3" t="s">
        <v>32</v>
      </c>
      <c r="B58" s="13">
        <f>B18+B35+B45+B56</f>
        <v>106718.675</v>
      </c>
      <c r="C58" s="13">
        <f>B58+'Week Apr 23-29'!C58</f>
        <v>207347.49096153845</v>
      </c>
      <c r="D58" s="6"/>
    </row>
    <row r="59" spans="1:4">
      <c r="B59" s="11"/>
      <c r="D59" s="6"/>
    </row>
    <row r="60" spans="1:4">
      <c r="A60" s="5"/>
      <c r="B60" s="11"/>
      <c r="D60" s="6"/>
    </row>
    <row r="61" spans="1:4">
      <c r="A61" s="5" t="s">
        <v>40</v>
      </c>
      <c r="B61" s="15">
        <f>(B18+B35+B45)*0.6+(B56)*0.45</f>
        <v>54927.555</v>
      </c>
      <c r="C61" s="15">
        <f>B61+'Week Apr 23-29'!C61</f>
        <v>107935.7715</v>
      </c>
      <c r="D61" s="9" t="s">
        <v>66</v>
      </c>
    </row>
    <row r="62" spans="1:4">
      <c r="A62" s="5" t="s">
        <v>41</v>
      </c>
      <c r="B62" s="15">
        <f>(B18+B35+B45)*0.2+(B56)*0.2</f>
        <v>21343.735000000001</v>
      </c>
      <c r="C62" s="15">
        <f>B62+'Week Apr 23-29'!C62</f>
        <v>41477.190499999997</v>
      </c>
      <c r="D62" s="9" t="s">
        <v>67</v>
      </c>
    </row>
    <row r="63" spans="1:4">
      <c r="A63" s="5" t="s">
        <v>39</v>
      </c>
      <c r="B63" s="15">
        <f>(B18+B35+B45)*0.2+(B56)*0.2</f>
        <v>21343.735000000001</v>
      </c>
      <c r="C63" s="15">
        <f>B63+'Week Apr 23-29'!C63</f>
        <v>41477.190499999997</v>
      </c>
      <c r="D63" s="9" t="s">
        <v>67</v>
      </c>
    </row>
    <row r="64" spans="1:4">
      <c r="A64" s="5" t="s">
        <v>68</v>
      </c>
      <c r="B64" s="15">
        <f>B56*0.15</f>
        <v>9103.65</v>
      </c>
      <c r="C64" s="15">
        <f>B64+'Week Apr 23-29'!C64</f>
        <v>16495.8</v>
      </c>
      <c r="D64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Apr 16-22</vt:lpstr>
      <vt:lpstr>Week Apr 23-29</vt:lpstr>
      <vt:lpstr>Week Apr 30-6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starsky</dc:creator>
  <cp:lastModifiedBy>starsky</cp:lastModifiedBy>
  <cp:lastPrinted>2012-04-29T23:31:30Z</cp:lastPrinted>
  <dcterms:created xsi:type="dcterms:W3CDTF">2012-04-23T23:53:57Z</dcterms:created>
  <dcterms:modified xsi:type="dcterms:W3CDTF">2012-05-09T03:46:40Z</dcterms:modified>
</cp:coreProperties>
</file>